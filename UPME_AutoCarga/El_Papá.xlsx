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G:\.shortcut-targets-by-id\1Yel3u3vQe47YNUfn-FnuDApv-8Xunsop\04_GP\03_Minigranjas\01_Proyectos\XX_PLANTILLA\06_Financial\06_BT\Automatismo BT\"/>
    </mc:Choice>
  </mc:AlternateContent>
  <xr:revisionPtr revIDLastSave="0" documentId="13_ncr:1_{3D5D86BC-BEBF-4BE0-A293-C9389D0D487C}" xr6:coauthVersionLast="41" xr6:coauthVersionMax="41" xr10:uidLastSave="{00000000-0000-0000-0000-000000000000}"/>
  <bookViews>
    <workbookView xWindow="20370" yWindow="-120" windowWidth="15600" windowHeight="11160" tabRatio="500" xr2:uid="{00000000-000D-0000-FFFF-FFFF00000000}"/>
  </bookViews>
  <sheets>
    <sheet name="FORMATO 3" sheetId="1" r:id="rId1"/>
    <sheet name="Listas2" sheetId="2" state="hidden" r:id="rId2"/>
    <sheet name="Listas" sheetId="3" state="hidden" r:id="rId3"/>
    <sheet name="Bienes" sheetId="4" state="hidden" r:id="rId4"/>
    <sheet name="Servicios" sheetId="5" state="hidden" r:id="rId5"/>
  </sheets>
  <definedNames>
    <definedName name="_xlnm._FilterDatabase" localSheetId="0" hidden="1">'FORMATO 3'!$A$1:$AG$254</definedName>
    <definedName name="Bienes_Biomasa_Biogás">Bienes!$A$4:$A$44</definedName>
    <definedName name="Bienes_Biomasa_Cultivos_energéticos">Bienes!$D$4:$D$30</definedName>
    <definedName name="Bienes_Biomasa_Gasificación">Bienes!$B$4:$B$32</definedName>
    <definedName name="Bienes_Biomasa_Generación_cogeneración">Bienes!$E$4:$E$51</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Google_Sheet_Link_1027526223" hidden="1">TEC_Geotérmica</definedName>
    <definedName name="Google_Sheet_Link_1040815591" hidden="1">REC_Eólica</definedName>
    <definedName name="Google_Sheet_Link_1216417762" hidden="1">TEC_Biomasa</definedName>
    <definedName name="Google_Sheet_Link_1524444068" hidden="1">Servicios_Solar</definedName>
    <definedName name="Google_Sheet_Link_1569163911" hidden="1">Servicios_Geotérmica</definedName>
    <definedName name="Google_Sheet_Link_1584960217" hidden="1">TEC_PCH</definedName>
    <definedName name="Google_Sheet_Link_1643995887" hidden="1">Servicios_Eólica</definedName>
    <definedName name="Google_Sheet_Link_1666818612" hidden="1">Bienes_Biomasa_Biogás</definedName>
    <definedName name="Google_Sheet_Link_1767761341" hidden="1">Servicios_Biomasa</definedName>
    <definedName name="Google_Sheet_Link_1814736310" hidden="1">Bienes_Biomasa_Gasificación</definedName>
    <definedName name="Google_Sheet_Link_1815523830" hidden="1">REC_PCH</definedName>
    <definedName name="Google_Sheet_Link_1836347927" hidden="1">Bienes_Geotérmica_Central_flash</definedName>
    <definedName name="Google_Sheet_Link_184107670" hidden="1">TEC_Eólica</definedName>
    <definedName name="Google_Sheet_Link_1877097170" hidden="1">REC_Solar</definedName>
    <definedName name="Google_Sheet_Link_1952676547" hidden="1">Servicios_PCH</definedName>
    <definedName name="Google_Sheet_Link_1954264645" hidden="1">Bienes_Biomasa_Generación_cogeneración</definedName>
    <definedName name="Google_Sheet_Link_2080387890" hidden="1">re</definedName>
    <definedName name="Google_Sheet_Link_2137550924" hidden="1">Bienes_Geotérmica_Central_de_ciclo_binario</definedName>
    <definedName name="Google_Sheet_Link_332746102" hidden="1">Bienes_Eólica_Eólica</definedName>
    <definedName name="Google_Sheet_Link_372734285" hidden="1">REC_Geotérmica</definedName>
    <definedName name="Google_Sheet_Link_478588422" hidden="1">REC_Biomasa</definedName>
    <definedName name="Google_Sheet_Link_479008676" hidden="1">Bienes_Solar_Fotovoltaica</definedName>
    <definedName name="Google_Sheet_Link_596040017" hidden="1">Bienes_Biomasa_Pirolización</definedName>
    <definedName name="Google_Sheet_Link_648866776" hidden="1">Bienes_Geotérmica_Central_de_vapor_seco</definedName>
    <definedName name="Google_Sheet_Link_83100068" hidden="1">NOMBRE</definedName>
    <definedName name="Google_Sheet_Link_845644602" hidden="1">Bienes_PCH_Hidráulica</definedName>
    <definedName name="Google_Sheet_Link_859997886" hidden="1">Bienes_PCH_Hidrocinética</definedName>
    <definedName name="Google_Sheet_Link_906658164" hidden="1">Bienes_Biomasa_Cultivos_energéticos</definedName>
    <definedName name="Google_Sheet_Link_960690631" hidden="1">TEC_Solar</definedName>
    <definedName name="NOMBRE">#REF!</definedName>
    <definedName name="re">#REF!</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 i="5" l="1"/>
  <c r="A1" i="4"/>
  <c r="F44" i="2" a="1"/>
  <c r="F44" i="2" s="1"/>
  <c r="F39" i="2" a="1"/>
  <c r="R39" i="2" s="1"/>
  <c r="B27" i="2"/>
  <c r="B26" i="2"/>
  <c r="L23" i="1"/>
  <c r="L22" i="1"/>
  <c r="L21" i="1"/>
  <c r="L18" i="1"/>
  <c r="L17" i="1"/>
  <c r="L16" i="1"/>
  <c r="L15" i="1"/>
  <c r="L14" i="1"/>
  <c r="L13" i="1"/>
  <c r="L12" i="1"/>
  <c r="L11" i="1"/>
  <c r="K9" i="1"/>
  <c r="L9" i="1" s="1"/>
  <c r="L8" i="1"/>
  <c r="L7" i="1"/>
  <c r="K6" i="1"/>
  <c r="L6" i="1" s="1"/>
  <c r="L5" i="1"/>
  <c r="L2" i="1"/>
  <c r="K39" i="2" l="1"/>
  <c r="S39" i="2"/>
  <c r="L39" i="2"/>
  <c r="T39" i="2"/>
  <c r="F39" i="2"/>
  <c r="M39" i="2"/>
  <c r="U39" i="2"/>
  <c r="N39" i="2"/>
  <c r="V39" i="2"/>
  <c r="G39" i="2"/>
  <c r="O39" i="2"/>
  <c r="H39" i="2"/>
  <c r="P39" i="2"/>
  <c r="I39" i="2"/>
  <c r="Q39" i="2"/>
  <c r="J3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79" authorId="0" shapeId="0" xr:uid="{00000000-0006-0000-0000-000001000000}">
      <text>
        <r>
          <rPr>
            <sz val="10"/>
            <rFont val="Arial"/>
            <family val="2"/>
          </rPr>
          <t>PENDIENTE: falta ficha técnica, marca/referencia y cantidad exacta de este tubo.
======</t>
        </r>
      </text>
    </comment>
    <comment ref="B81" authorId="0" shapeId="0" xr:uid="{00000000-0006-0000-0000-000002000000}">
      <text>
        <r>
          <rPr>
            <sz val="10"/>
            <rFont val="Arial"/>
            <family val="2"/>
          </rPr>
          <t>PENDIENTE: falta ficha técnica, marca/referencia y cantidad exacta de este tubo.
======</t>
        </r>
      </text>
    </comment>
  </commentList>
</comments>
</file>

<file path=xl/sharedStrings.xml><?xml version="1.0" encoding="utf-8"?>
<sst xmlns="http://schemas.openxmlformats.org/spreadsheetml/2006/main" count="2366" uniqueCount="1441">
  <si>
    <t>Ítem</t>
  </si>
  <si>
    <t>Nombre del Elemento/Equipo/Maquinaria</t>
  </si>
  <si>
    <t>Subpartida arancelaria</t>
  </si>
  <si>
    <t>Cantidad</t>
  </si>
  <si>
    <t>Unidad de Medida</t>
  </si>
  <si>
    <t>Marca</t>
  </si>
  <si>
    <t>Modelo / Referencia</t>
  </si>
  <si>
    <t>Normas técnicas</t>
  </si>
  <si>
    <t>Fabricante</t>
  </si>
  <si>
    <t>Proveedor</t>
  </si>
  <si>
    <t>Valor total en COP
(Sin incluir IVA)</t>
  </si>
  <si>
    <t>Valor IVA en COP</t>
  </si>
  <si>
    <t xml:space="preserve">Función </t>
  </si>
  <si>
    <t>Soporte</t>
  </si>
  <si>
    <t>Certificado de Conformidad de Producto</t>
  </si>
  <si>
    <t>Odoo ID</t>
  </si>
  <si>
    <t>Código Soporte</t>
  </si>
  <si>
    <t>Código Certificado</t>
  </si>
  <si>
    <t>Subestación o Power Station</t>
  </si>
  <si>
    <t>85.04.22.90.00</t>
  </si>
  <si>
    <t>unidades</t>
  </si>
  <si>
    <t xml:space="preserve">ZENTRACK </t>
  </si>
  <si>
    <t>CN-1100/022</t>
  </si>
  <si>
    <t>EN61000-6:2019; EN61000-6-4:2019; IEC 61558-1:2019; IEC 62271-202:2022; IEC 61330:1995</t>
  </si>
  <si>
    <t>EAGLERISE ELECTRIC &amp; ELECTRONIC (CHINA) CO. LTD</t>
  </si>
  <si>
    <t>La subestación compacta para intemperie transforma la energía generada en baja tensión por el proyecto fotovoltaico a media tensión, permitiendo su integración a la red de distribución local. Cuenta con centros de transformación, celdas de medida y protección, y dispositivos contra sobrecorriente y sobrevoltaje. Su función es esencial para suministrar energía a los habitantes cercanos.</t>
  </si>
  <si>
    <t>https://drive.google.com/drive/folders/1cc5cpb9x2xwyAoBBs67LEUqpqbe4cNCu</t>
  </si>
  <si>
    <t>https://drive.google.com/drive/folders/1LdBzExy1YbG0oEbz1jPy3SkcvW76PiZR</t>
  </si>
  <si>
    <t>P01931</t>
  </si>
  <si>
    <t>L002</t>
  </si>
  <si>
    <t>CERT005</t>
  </si>
  <si>
    <t>8504.34.10.00</t>
  </si>
  <si>
    <t>ZENTRACK</t>
  </si>
  <si>
    <t>CN-1250/012</t>
  </si>
  <si>
    <t>EN61000-6:2019; EN61000-6-4:2019; IEC
61558-1:2019; IEC 62271-202:2022; IEC 61330:1995</t>
  </si>
  <si>
    <t>NEXUS TRADE CONSULTING LIMITED</t>
  </si>
  <si>
    <t>$135.493.339,59</t>
  </si>
  <si>
    <t>https://drive.google.com/drive/folders/149PiE67rtKaDRx-CQfP_LsUKNH8RPryo?usp=sharing</t>
  </si>
  <si>
    <t>P01933</t>
  </si>
  <si>
    <t>L0061</t>
  </si>
  <si>
    <t>CN-1250/015</t>
  </si>
  <si>
    <t>https://drive.google.com/drive/folders/1BZTPlrGbiOcKSSlGhOfzdjAdnugKSXtF</t>
  </si>
  <si>
    <t>P01934</t>
  </si>
  <si>
    <t>L001</t>
  </si>
  <si>
    <t>CN-1100/025</t>
  </si>
  <si>
    <t>EN61000-6:2019; EN61000-6-4:2019; IEC 61558-1:2019; IEC
62271-202:2022; IEC 61330:1995</t>
  </si>
  <si>
    <t>https://drive.google.com/drive/folders/184IyEgfQEVb0mxUHFCwhbcytQbdnM25v</t>
  </si>
  <si>
    <t>L003</t>
  </si>
  <si>
    <t>Seguidores solares</t>
  </si>
  <si>
    <t>7308.90.90.00</t>
  </si>
  <si>
    <t>Tracker 2P Singsun</t>
  </si>
  <si>
    <t>ISO 9001, ISO 14001, ISO 1461</t>
  </si>
  <si>
    <t>JIANGSU GUOQIANG SINGSUN ENERGY CO., LTD</t>
  </si>
  <si>
    <t>Estructura móvil instalada para soportar los módulos fotovoltaicos y para seguir la trayectoria del sol.</t>
  </si>
  <si>
    <t>https://drive.google.com/drive/folders/1LGlr0snTHTDmlIvybUh5fmdkNjI15f5y</t>
  </si>
  <si>
    <t>P00576</t>
  </si>
  <si>
    <t>L005</t>
  </si>
  <si>
    <t>Unidad funcional</t>
  </si>
  <si>
    <t>8479.89.90.00</t>
  </si>
  <si>
    <t>TrinaTracker</t>
  </si>
  <si>
    <t>Vanguard -2P</t>
  </si>
  <si>
    <t>UL 3703, UL 2703, IEC 62817, ISO 9001, ISO14001</t>
  </si>
  <si>
    <t>Trina Solar Co.,Ltd</t>
  </si>
  <si>
    <t xml:space="preserve">Soporte estructural para los paneles solares con un sistema de "tracking" que le permite girar sobre su eje transversal para seguir el sol, el equipo fue clasificado arancelariamente como una unidad funcional por la Dirección de Impuestos y Aduanas Nacionales </t>
  </si>
  <si>
    <t>https://drive.google.com/drive/folders/13R5ydcDZsTgU9S9CVxafW9PKXeEsitjV?usp=drive_link</t>
  </si>
  <si>
    <t>L006</t>
  </si>
  <si>
    <t>Zentrack</t>
  </si>
  <si>
    <t>Tracker 1P Singsun</t>
  </si>
  <si>
    <t>https://drive.google.com/drive/folders/1rzFaWfqPq962WWIfcZTMSwxV9pyxXJao</t>
  </si>
  <si>
    <t>P00575</t>
  </si>
  <si>
    <t>L007</t>
  </si>
  <si>
    <t>Sistema de monitoreo, control y automatización</t>
  </si>
  <si>
    <t>9032.89.90.00</t>
  </si>
  <si>
    <t>CONTROLADOR SEGUIDOR SOLAR V1R3</t>
  </si>
  <si>
    <t>ISO 9001
UL (E332411)</t>
  </si>
  <si>
    <t>H.C.C INTERNATIONAL LIMITED</t>
  </si>
  <si>
    <t>ZENTRACK SAS</t>
  </si>
  <si>
    <t>Controladores Zentrack, estos equipos se encargan de realizar el control de los motores utilizados para posicionar en posición perpendicular al sol el seguidor solar que soporta los paneles solares. El controlador calcula la trayectoria del sol y con un sensor de inclinación integrado posiciona la estructura para seguir el sol. Hace parte esencial del sistema de seguimiento solar</t>
  </si>
  <si>
    <t>PROV-0009</t>
  </si>
  <si>
    <t>Paneles/modulos o celdas fotovoltaicas</t>
  </si>
  <si>
    <t>8541.43.00.00</t>
  </si>
  <si>
    <t>Jinko Solar</t>
  </si>
  <si>
    <t>JKM650-670N-66QL6-BDV-F3-EN</t>
  </si>
  <si>
    <t>IEC 61215:2021; IEC 61730:2023; IEC 61701; IEC 62716; IEC 60068; IEC 62804</t>
  </si>
  <si>
    <t>Jinko Solar Co., Ltd.</t>
  </si>
  <si>
    <t>Generación de energía eléctrica a partir de la radiación solar mediante células fotovoltaicas bifaciales N-type TOPCon</t>
  </si>
  <si>
    <t>https://drive.google.com/drive/folders/12wK-wJ-CRCypOnppn1Cjqd7Y54vmea1_</t>
  </si>
  <si>
    <t>PROV-0010</t>
  </si>
  <si>
    <t>L008</t>
  </si>
  <si>
    <t>LONGi</t>
  </si>
  <si>
    <t>LR5-72HGD-580M</t>
  </si>
  <si>
    <t>IEC61215, IEC61730, UL61730, IEC62941</t>
  </si>
  <si>
    <t>Principal componente del sistema de energía solar y su función es transformar la radiación solar directamente en electricidad</t>
  </si>
  <si>
    <t>https://drive.google.com/drive/folders/1v5PFo_rL5WEAQ9DsjzwtKHaQqFWCfoNn</t>
  </si>
  <si>
    <t>P00771</t>
  </si>
  <si>
    <t>L009</t>
  </si>
  <si>
    <t>LR7-72HGD610M</t>
  </si>
  <si>
    <t>https://drive.google.com/drive/folders/1W0chWWJxQITFQX8qZPlnjboQTzuztD1F</t>
  </si>
  <si>
    <t>P01666</t>
  </si>
  <si>
    <t>L010</t>
  </si>
  <si>
    <t>LR7-72HYD-650M</t>
  </si>
  <si>
    <t>https://drive.google.com/drive/folders/1Xzeum8R9QMY_Y8iTd8-rQO30BLzR3Cru</t>
  </si>
  <si>
    <t>P00773</t>
  </si>
  <si>
    <t>L011</t>
  </si>
  <si>
    <t>LR7-72HGD-615M</t>
  </si>
  <si>
    <t>P01526</t>
  </si>
  <si>
    <t>LR8-66HYD-655M</t>
  </si>
  <si>
    <t>https://drive.google.com/drive/folders/19efuYBKjM8Oh-ZfVDbMFTiX1XJq4P8ez</t>
  </si>
  <si>
    <t>P01667</t>
  </si>
  <si>
    <t>L012</t>
  </si>
  <si>
    <t>LR8-66HGD-615M</t>
  </si>
  <si>
    <t>https://drive.google.com/drive/folders/14zrIbdPCsxdJuhHTGBpgY2jL9lzFebsN</t>
  </si>
  <si>
    <t>L013</t>
  </si>
  <si>
    <t>LR8-66HYD-650M</t>
  </si>
  <si>
    <t>https://drive.google.com/drive/folders/1rsZFZeulPRCYwiMXlaM-GcvB3vIGGO3x</t>
  </si>
  <si>
    <t>L014</t>
  </si>
  <si>
    <t>LR7-72HGD 620M</t>
  </si>
  <si>
    <t>P01527</t>
  </si>
  <si>
    <t>Inversores o microinversores (Off Gid, Grid Tie o Híbrido)</t>
  </si>
  <si>
    <t>Huawei</t>
  </si>
  <si>
    <t>SUN2000-247.5KTL-H1</t>
  </si>
  <si>
    <t>IEC 61727:2004; IEC 62116:2014</t>
  </si>
  <si>
    <t>Huawei Technologies Co., Ltd.</t>
  </si>
  <si>
    <t>Grupo Solaire S.A.S</t>
  </si>
  <si>
    <t>Transformacion de energia DC/AC</t>
  </si>
  <si>
    <t>https://drive.google.com/drive/folders/1uzr6NJKRStMhnDDofeFaPjLjh0KdD8f5</t>
  </si>
  <si>
    <t>https://drive.google.com/drive/folders/1RRBxfJPuzZMLRVIzMTb4NSErLaOxCt5w</t>
  </si>
  <si>
    <t xml:space="preserve">P01891 </t>
  </si>
  <si>
    <t>L015</t>
  </si>
  <si>
    <t>CERT001</t>
  </si>
  <si>
    <t>SUN2000-249KTL-H1</t>
  </si>
  <si>
    <t>https://drive.google.com/drive/folders/1IYQfLVwNswfcGO-dKZOEcPAWXMJShUL_</t>
  </si>
  <si>
    <t>P01243</t>
  </si>
  <si>
    <t>L016</t>
  </si>
  <si>
    <t>Unidades</t>
  </si>
  <si>
    <t>SUN2000-330KTL-H1</t>
  </si>
  <si>
    <t>IEC 61727:2004 Photovoltaic (PV) systems – Characteristics of the utility interface IEC 62116:2014 Test procedure of islanding prevention measures for utilityinterconnected photovoltaic inverters</t>
  </si>
  <si>
    <t>Grupo Solaire S.A.S.</t>
  </si>
  <si>
    <t>Transformación de energía DC/AC</t>
  </si>
  <si>
    <t>https://drive.google.com/drive/folders/1XVHXVNZhsQLqJm55cowRAr7WgAyCuGG9</t>
  </si>
  <si>
    <t>P00655</t>
  </si>
  <si>
    <t>L017</t>
  </si>
  <si>
    <t>SUN2000-40KTL-M3</t>
  </si>
  <si>
    <t>EN 62109-1/-2, IEC 62109-1/-2, EN 50530, IEC 62116, IEC 60068, IEC 61683</t>
  </si>
  <si>
    <t>https://drive.google.com/drive/folders/1aYvYiIGK0bLmaslxX5eWDsY5gIgAxGE5</t>
  </si>
  <si>
    <t>P00656</t>
  </si>
  <si>
    <t>L018</t>
  </si>
  <si>
    <t>SUN2000-50KTL-M3</t>
  </si>
  <si>
    <t>EN 62109-1/-2, IEC 62109-1/-2, EN 50530, IEC 62116, IEC 60068, IEC 61683, IEC 61727, ABNT NBR 16149, ABNT NBR 16150, ABNT NBR IEC 62116</t>
  </si>
  <si>
    <t>https://drive.google.com/drive/folders/1u2EMBQNnKkj1JWL4zsJCQgYfEQb8s4QG</t>
  </si>
  <si>
    <t>P00657</t>
  </si>
  <si>
    <t>L019</t>
  </si>
  <si>
    <t>Datalogger</t>
  </si>
  <si>
    <t>unidad</t>
  </si>
  <si>
    <t xml:space="preserve">Huawei </t>
  </si>
  <si>
    <t>SmartLogger3000A03EU</t>
  </si>
  <si>
    <t>IEC 60870-5-104, IEC 60870-5-103</t>
  </si>
  <si>
    <t xml:space="preserve">Grupo Solaire
S.A.S.
</t>
  </si>
  <si>
    <t>Datalogger para la supervisión, control y adquisición de datos del sistema fotovoltaico, necesario para la integración con sistemas de monitoreo y cumplimiento de protocolos de comunicación exigidos (IEC 60870-5-104 / 103), permitiendo la gestión de inversores y operación remota del sistema</t>
  </si>
  <si>
    <t>https://drive.google.com/drive/folders/17nqi9n1BchtoHKfbCfSFiqh2-gNWBx-3</t>
  </si>
  <si>
    <t>P00903</t>
  </si>
  <si>
    <t>L020</t>
  </si>
  <si>
    <t>Conectores MC4</t>
  </si>
  <si>
    <t>Weidmüller</t>
  </si>
  <si>
    <t>BUGH WM4 C BT</t>
  </si>
  <si>
    <t>DIN EN 50521, IEC 62852</t>
  </si>
  <si>
    <t>Weidmüller Interface GmbH &amp; Co. KG</t>
  </si>
  <si>
    <t>Conectores que facilitan la conexión de los paneles fotovoltaicos</t>
  </si>
  <si>
    <t>https://drive.google.com/drive/folders/1-2SDtnilKVkzbzm9670h4Q6m2h67DLEr</t>
  </si>
  <si>
    <t>P00458</t>
  </si>
  <si>
    <t>L021</t>
  </si>
  <si>
    <t>BUKO WM4 C BT</t>
  </si>
  <si>
    <t>DIN EN 50521</t>
  </si>
  <si>
    <t>https://drive.google.com/drive/folders/1amUHJ6EEV4uoBb1yKnPdglVV4cfaXurS</t>
  </si>
  <si>
    <t>P00806</t>
  </si>
  <si>
    <t>L022</t>
  </si>
  <si>
    <t>SFGH WM4 C BT</t>
  </si>
  <si>
    <t>https://drive.google.com/drive/folders/1OJ3kxVxw9yhyVvPcj4lAtZVRvI6UtXs_</t>
  </si>
  <si>
    <t>P00461</t>
  </si>
  <si>
    <t>L023</t>
  </si>
  <si>
    <t>SFkO WM4 C BT</t>
  </si>
  <si>
    <t>https://drive.google.com/drive/folders/1Fp0aiedr33njv9LVd2JC0tg1MAvEB5L_</t>
  </si>
  <si>
    <t>P00807</t>
  </si>
  <si>
    <t>L024</t>
  </si>
  <si>
    <t>Interruptores, reconectadores, seccionadores y transferencias automáticas</t>
  </si>
  <si>
    <t>Unidad</t>
  </si>
  <si>
    <t>Noja</t>
  </si>
  <si>
    <t>OSM-15-12-630</t>
  </si>
  <si>
    <t>ANSI C37.60-2012, IEC 61850, IEC 60870-5-101, IEC 60870-5-104, DNP3, IEC 61499, IEC 255, IP66, IP65</t>
  </si>
  <si>
    <t>Noja Power
Switchgear
Pty. Ltd.</t>
  </si>
  <si>
    <t>Potencia y
Tecnologías
Incorporadas S.A.S</t>
  </si>
  <si>
    <t>Equipo encargado de proteger el
sistema de generación en media tensión</t>
  </si>
  <si>
    <t>https://drive.google.com/drive/folders/1Z1p6iVbf8ZfNUNKctMlV-gTfT9a90dUO</t>
  </si>
  <si>
    <t>P00836</t>
  </si>
  <si>
    <t>L025</t>
  </si>
  <si>
    <t>OSM27</t>
  </si>
  <si>
    <t>PROV-0030</t>
  </si>
  <si>
    <t>OSM38</t>
  </si>
  <si>
    <t>PROV-0031</t>
  </si>
  <si>
    <t>ABB</t>
  </si>
  <si>
    <t>OVR-15</t>
  </si>
  <si>
    <t>IEC 62271-111 / IEEE C37.60:2012; IEC C37.100.1-2007</t>
  </si>
  <si>
    <t>ABB India Limited</t>
  </si>
  <si>
    <t>Equipo de protección, maniobra y reconexión automática en redes eléctricas de media tensión. Permite interrumpir corrientes de falla, realizar secuencias de apertura y recierre, proteger la red de distribución y mejorar la continuidad y confiabilidad del sistema eléctrico asociado al proyecto.</t>
  </si>
  <si>
    <t>https://drive.google.com/drive/folders/130FN_7LTt8PzogdEZa6eTOhOl920Wfrj</t>
  </si>
  <si>
    <t>P01774</t>
  </si>
  <si>
    <t>L026</t>
  </si>
  <si>
    <t>OVR-27</t>
  </si>
  <si>
    <t>PROV-0033</t>
  </si>
  <si>
    <t>OVR-38</t>
  </si>
  <si>
    <t>P01773</t>
  </si>
  <si>
    <t>ROCKWILL</t>
  </si>
  <si>
    <t>RCW15/630, Corriente Nominal Cortocircuito 15 kA.</t>
  </si>
  <si>
    <t>IEC 62271-200:2021, IEC 61439-3:2012, IEC 61439-1:2020, UL 969:2023, IEC 60695-11-10:2013</t>
  </si>
  <si>
    <t>Wenzhou Rockwill Electric Co., Ltd</t>
  </si>
  <si>
    <t>ACOVIS Ingeníeria De Colombia SAS</t>
  </si>
  <si>
    <t>Equipo encargado de proteger el sistema de generación en media tensión</t>
  </si>
  <si>
    <t>https://drive.google.com/drive/folders/1WQcos9JHcWphjLlluEt1u6QqWwPv16T6</t>
  </si>
  <si>
    <t>P00837</t>
  </si>
  <si>
    <t>L027</t>
  </si>
  <si>
    <t>RCW38/630 Corriente Nominal Cortocircuito 15 kA.</t>
  </si>
  <si>
    <t>PROV-0036</t>
  </si>
  <si>
    <t>RCW27/630</t>
  </si>
  <si>
    <t>PROV-0037</t>
  </si>
  <si>
    <t>ENTEC</t>
  </si>
  <si>
    <t>EPR-1 (ETR300R)</t>
  </si>
  <si>
    <t>CELSA</t>
  </si>
  <si>
    <t>https://drive.google.com/drive/folders/1b84vtkIjY001Y-LDfgSLFLN_4Ua1dz7P</t>
  </si>
  <si>
    <t>PROV-0038</t>
  </si>
  <si>
    <t>L028</t>
  </si>
  <si>
    <t>Medidores bidireccionales</t>
  </si>
  <si>
    <t>ISKRA</t>
  </si>
  <si>
    <t>MT880,  Medidor trifásico multitarifa</t>
  </si>
  <si>
    <t>NTC 5226/2017 (IEC 62052-11-2003), NTC 2147/2017 (IEC 62053-22/2003) y la NTC 4569/2017 (IEC62053-23/2003)</t>
  </si>
  <si>
    <t>ISKRAEMECO D.D.</t>
  </si>
  <si>
    <t>INDUSTRIA ELECTRICA DEL CAUCA S.A.S. - INELCA S.A.S.</t>
  </si>
  <si>
    <t>Equipo de medida para registrar la energía generada por el sistema y que se inyecta a la red en media tensión</t>
  </si>
  <si>
    <t>https://drive.google.com/drive/folders/142PceXJfvcSHBq42bMrcYZ0T8zoGQkbR</t>
  </si>
  <si>
    <t>P00707</t>
  </si>
  <si>
    <t>L029</t>
  </si>
  <si>
    <t>Medidores Inteligentes</t>
  </si>
  <si>
    <t>METCOM Solutions</t>
  </si>
  <si>
    <t xml:space="preserve">MCS301 </t>
  </si>
  <si>
    <t>EN 50470-3; IEC 62053-21; IEC 62053-22; IEC 62052-11; EN 50407-1; EN 62054; IEC 62053-31; EN 62056-21; DIN 43857 parte 2; DIN 43859; DLMS/COSEM; IDIS paquete 2; IP54; MID M1; MID E2.</t>
  </si>
  <si>
    <t>Medición inteligente de energía eléctrica activa bidireccional, energía reactiva en los 4 cuadrantes, energía aparente, máxima demanda, perfiles de facturación, calidad de energía, armónicos, THD, eventos, comunicación remota y funciones antifraude para segmentos residencial, comercial, industrial y puntos de frontera.</t>
  </si>
  <si>
    <t>https://drive.google.com/drive/folders/19CYDdqWguMc87HwvJqG6ls0_1yVbusJk</t>
  </si>
  <si>
    <t>PROV-0040</t>
  </si>
  <si>
    <t>L030</t>
  </si>
  <si>
    <t>MCS301-002-ES</t>
  </si>
  <si>
    <t xml:space="preserve">METCOM Solutions </t>
  </si>
  <si>
    <t>PROV-0041</t>
  </si>
  <si>
    <t>Transformadores (de potencia, medida e instrumentación)</t>
  </si>
  <si>
    <t>IGT</t>
  </si>
  <si>
    <t>TC17.5E - Relacion 50/5 A, Clase de exactitud 0.5S, Potencia nominal 5 VA</t>
  </si>
  <si>
    <t>IEC 61869-2:2012 (NTC 2205:2013), IEC 61869-1:2007 (NTC 5933:2012)</t>
  </si>
  <si>
    <t>IGT SAS</t>
  </si>
  <si>
    <t>INPEL</t>
  </si>
  <si>
    <t>8244433,7</t>
  </si>
  <si>
    <t>1566442,4</t>
  </si>
  <si>
    <t>Su principal función es transformar la corriente y aislar los instrumentos de protección y medición conectados a los circuitos de media tensión</t>
  </si>
  <si>
    <t>https://drive.google.com/drive/folders/1Tq56rCfmKzfP6vGphXVq3FftfJ8y9W2I</t>
  </si>
  <si>
    <t>PROV-0042</t>
  </si>
  <si>
    <t>L031</t>
  </si>
  <si>
    <t>CERT002</t>
  </si>
  <si>
    <t>TT17.5E-LN - Relación 13.8/√3 kV - 120/√3 V, Clase de exactitud 0.5, Potencia nominal 5 VA</t>
  </si>
  <si>
    <t>IEC 61869-3:2011 (NTC 2207:2012), IEC 61869-1:2007 (NTC 5933:2012)</t>
  </si>
  <si>
    <t xml:space="preserve">INPEL </t>
  </si>
  <si>
    <t>9012578,3</t>
  </si>
  <si>
    <t>1712389,9</t>
  </si>
  <si>
    <t>Su principal función es transformar la tensión y aislar los instrumentos de protección y medición conectados a los circuitos de media tensión</t>
  </si>
  <si>
    <t>https://drive.google.com/drive/folders/1yI9fG2L5PT0_VG-uyQXa-JKvcqVLxoLq</t>
  </si>
  <si>
    <t>PROV-0043</t>
  </si>
  <si>
    <t>L032</t>
  </si>
  <si>
    <t>Rymel</t>
  </si>
  <si>
    <t>TCEM 50/5 Clase Medición 0.5s Burden Nominal 5 VA"</t>
  </si>
  <si>
    <t>IEC61869-2, NTC5933, NTC2205</t>
  </si>
  <si>
    <t>Rymel S.A.S.</t>
  </si>
  <si>
    <t>https://drive.google.com/drive/folders/1rg2fKpw96CeTPlhwxBy9lKUmkBluhuSD</t>
  </si>
  <si>
    <t>P01040</t>
  </si>
  <si>
    <t>L033</t>
  </si>
  <si>
    <t>ESITAS</t>
  </si>
  <si>
    <t>ATH 30-N Clase Medición 0.5s Burden Nominal 5 VA</t>
  </si>
  <si>
    <t>Latam Ifer S.A.S</t>
  </si>
  <si>
    <t>https://drive.google.com/drive/folders/1OsuQpqPHBUB_kOYJ3FmLaR4JtacmLQk-</t>
  </si>
  <si>
    <t>PROV-0045</t>
  </si>
  <si>
    <t>L034</t>
  </si>
  <si>
    <t>VTH 30-N</t>
  </si>
  <si>
    <t>IEC61869-3, NTC5933, NTC2207</t>
  </si>
  <si>
    <t>https://drive.google.com/drive/folders/1zfK8iusdA9tBDpVodUvhgzm_uIYKWr-w</t>
  </si>
  <si>
    <t>PROV-0046</t>
  </si>
  <si>
    <t>L035</t>
  </si>
  <si>
    <t>TPEM1 13.8/√3 - 120/√3 Clase Medición 0.5 Burden Nominal 5 VA</t>
  </si>
  <si>
    <t>P01851</t>
  </si>
  <si>
    <t>Tableros de baja tensión AC/DC (Incluye los elementos internos)</t>
  </si>
  <si>
    <t>TODO LÁMINAS C.E.</t>
  </si>
  <si>
    <t>TMI (2) - 100 A - 10 kA - IP 44 - 60,70,25 - septiembre 2024 - Tensión nominal: hasta 480 V.</t>
  </si>
  <si>
    <t>Numeral 20.23-1 del Reglamento Técnico de Instalaciones Eléctricas - RETIE. Resolución 90708 del 30 de agosto de 2013 y 90795 del 25 de julio de 2014 del Ministerio de Minas y Energía</t>
  </si>
  <si>
    <t>Mavill S.A.S.</t>
  </si>
  <si>
    <t>Alberga los dos medidores de energía de la frontera del proyecto</t>
  </si>
  <si>
    <t>https://drive.google.com/drive/folders/1aolEGj-F-Yl7o1AgeN3vMol0tvM7HgB8</t>
  </si>
  <si>
    <t>P00939</t>
  </si>
  <si>
    <t>L036</t>
  </si>
  <si>
    <t>Cables Solares DC</t>
  </si>
  <si>
    <t>metros</t>
  </si>
  <si>
    <t>PRYSMIAN GROUP</t>
  </si>
  <si>
    <t>Cable Fotovoltaico, 6mm2, 1800 V DC, Cobre Suave, Flexible, XLPE</t>
  </si>
  <si>
    <t>NTC 6404/2020 y la RESOLUCIÓN 90708 de 2013 del MINISTERIO DE MINAS Y ENERGÍA – RETIE (Numeral 20.2)</t>
  </si>
  <si>
    <t>PRODUCTORA DE CABLES PROCABLES S.A.S.</t>
  </si>
  <si>
    <t>SONEPAR</t>
  </si>
  <si>
    <t>Transporta la energía DC proveniente de los paneles fotovoltaicos hacia los inversores</t>
  </si>
  <si>
    <t>https://drive.google.com/drive/folders/1EWcp25cWf4rxmKDGWWA4b7J2Mrcppp9t</t>
  </si>
  <si>
    <t>P00335</t>
  </si>
  <si>
    <t>L037</t>
  </si>
  <si>
    <t>Cablecol</t>
  </si>
  <si>
    <t>Alambres y cables en AC</t>
  </si>
  <si>
    <t>PROCABLES</t>
  </si>
  <si>
    <t>Cable termoplástico AA Serie 8000 12 AWG 600V concéntrico THHW PVC 90°C Seco Use CT</t>
  </si>
  <si>
    <t>NTC 1332/2011, UL 83/2017, ENERSIS/ENDESA E-BT-001/Rev. 6 2011, CODENSA ET-116/2019 y la RESOLUCIÓN 90708 del MINISTERIO DE MINAS Y ENERGÍA – RETIE (Numeral 20.2)</t>
  </si>
  <si>
    <t>Conexión de tierra desde los inversores de 300 kW hasta el tablero fotovoltaico</t>
  </si>
  <si>
    <t>https://drive.google.com/drive/folders/1eQubYT9_KBWjAItKXkUTaLGeGpY3h7BO</t>
  </si>
  <si>
    <t>PROV-0050</t>
  </si>
  <si>
    <t>L038</t>
  </si>
  <si>
    <t>Cable termoplástico AA Serie 8000 14 AWG 600V concéntrico THHW PVC 90°C Seco Use CT</t>
  </si>
  <si>
    <t>NTC 1332/2011, UL 83/2017, ENERSIS/ENDESA E-BT-001/Rev. 6 2011, CODENSA ET-116/2019
y la RESOLUCIÓN 90708 del MINISTERIO DE MINAS Y ENERGÍA – RETIE (Numeral 20.2)</t>
  </si>
  <si>
    <t>Conexión de tierra desde los inversores de 60 kW y 36 kW hasta el tablero fotovoltaico</t>
  </si>
  <si>
    <t>PROV-0051</t>
  </si>
  <si>
    <t>Cable termoplástico AA Serie 8000 1/0 AWG 600V concéntrico THHW PVC 90°C Seco Use CT</t>
  </si>
  <si>
    <t xml:space="preserve">	
Transporta la energía AC proveniente del inversor de 36 kW hasta el tablero fotovoltaico</t>
  </si>
  <si>
    <t>P00280</t>
  </si>
  <si>
    <t>Cobre desnudo suave 1/0 AWG cableado concéntrico clase B</t>
  </si>
  <si>
    <t>NTC 307/2012, ASTM B3/2013, ASTM B8/2011, ET 121/2013 y la RESOLUCIÓN 90708 de 2013 del MINISTERIO DE MINAS Y ENERGÍA - RETIE (Numeral 20.2)</t>
  </si>
  <si>
    <t>Componente principal del sistema de puesta a tierra, permite la interconexión de las varillas de puesta a tierra, formando un enmallado</t>
  </si>
  <si>
    <t>https://drive.google.com/drive/folders/1EgEUg71TCUVyqx5EBRpi-b4OsHDeFAan</t>
  </si>
  <si>
    <t>P00285</t>
  </si>
  <si>
    <t>L039</t>
  </si>
  <si>
    <t>Cobre desnudo suave 2 AWG cableado concéntrico clase B</t>
  </si>
  <si>
    <t>P00283</t>
  </si>
  <si>
    <t xml:space="preserve">CENTELSA </t>
  </si>
  <si>
    <t>XLPE Al 1/0 AWG 15kV 100% PVC</t>
  </si>
  <si>
    <t>NTC 2186-2/2015, ICEA S-93-639/2017, NEMA WC 74/2017 y la RESOLUCIÓN 90708 de 2013 del MINISTERIO DE MINAS Y ENERGÍA – RETIE (Numeral 20.2)</t>
  </si>
  <si>
    <t>CABLES DE ENERGÍA Y DE TELECOMUNICACIONES S.A.S.</t>
  </si>
  <si>
    <t xml:space="preserve">SONEPAR </t>
  </si>
  <si>
    <t xml:space="preserve">Conexión en media tensión entre la celda de protección y el punto de interconexión a la red del Operador de Red </t>
  </si>
  <si>
    <t xml:space="preserve"> https://drive.google.com/drive/folders/1fJEhGAAG1s9UUSD3w3L0iQ9ukZ8oTd4Y</t>
  </si>
  <si>
    <t>P01509</t>
  </si>
  <si>
    <t>L040</t>
  </si>
  <si>
    <t>FACELEC S.A.S</t>
  </si>
  <si>
    <t>Conductor AAC 8 mm 1H</t>
  </si>
  <si>
    <t>NTC 308 (ASTM B 231)</t>
  </si>
  <si>
    <t xml:space="preserve">FACELEC S.A.S
</t>
  </si>
  <si>
    <t>EDEMCO S.A.S.</t>
  </si>
  <si>
    <t>Cable para anillo de apantallamiento de la subestación.</t>
  </si>
  <si>
    <t>http://drive.google.com/drive/folders/1X-Vcg99nMs51Nk-O1nsPdkaKT5Rzr_bi</t>
  </si>
  <si>
    <t>P00065</t>
  </si>
  <si>
    <t>L041</t>
  </si>
  <si>
    <t>Canalizaciones: canaletas, tubos, prefabricadas con barras o con cables, ductos subterráneos</t>
  </si>
  <si>
    <t>INTERFLEX</t>
  </si>
  <si>
    <t>AGT-17N</t>
  </si>
  <si>
    <t>Reglamento Técnico de instalaciones eléctricas RETIE . Resolución 90708 de 30 de agosto de 2013, Resolución 90795 de 25 de julio de 2014 del Ministerio de Minas y Energía Numerales 20.6.1</t>
  </si>
  <si>
    <t>INTERFLEX S.L</t>
  </si>
  <si>
    <t>La tubería se encarga de proteger el cable de conexión de comunicaciones entre el inversor y el Smartlogger</t>
  </si>
  <si>
    <t>https://drive.google.com/drive/folders/19UyhofeeZK-Q-4qGkg9urPR2kjNeYMOC</t>
  </si>
  <si>
    <t>PROV-0057</t>
  </si>
  <si>
    <t>L042</t>
  </si>
  <si>
    <t>AGT-48N</t>
  </si>
  <si>
    <t>La tubería se encarga de proteger el cable de conexión entre la salida en AC de los inversores y el tablero FV</t>
  </si>
  <si>
    <t>P01048</t>
  </si>
  <si>
    <t>AGT-95N</t>
  </si>
  <si>
    <t>P01047</t>
  </si>
  <si>
    <t>PLASTIMEC Y RALCO</t>
  </si>
  <si>
    <t>TUBOS DE PVC RÍGIDO Conduit Tipo A De 3/4"</t>
  </si>
  <si>
    <t>NTC 979/2021 y la RESOLUCIÓN 90708 de 2013 del MINISTERIO DE MINAS Y ENERGÍA RETIE (Numeral 20.6)</t>
  </si>
  <si>
    <t>INDUSTRIA COLOMBIANA DE PLÁSTICOS S.A.S. - IMEC S.A.S.</t>
  </si>
  <si>
    <t>EDEMCO S.A.S</t>
  </si>
  <si>
    <t>La tubería se encarga de proteger el cable de comunicación de los inversores de 300 kW, 60 kW y 36 kW con el smartlogger ubicado en la subestación.</t>
  </si>
  <si>
    <t>https://drive.google.com/drive/folders/1zNd1D2h-z-VYbFcd_0_QKnoePDwbyND-</t>
  </si>
  <si>
    <t>P01080</t>
  </si>
  <si>
    <t>L043</t>
  </si>
  <si>
    <t>CENTELSA</t>
  </si>
  <si>
    <t>CENTELSA by NEXANS 240 mm2 Al POTENCIA XLPE/PVC SR 0,6/1 (1,2) kV AC - 0,9/1,5 (1,8) kV DC 90°C - AD8</t>
  </si>
  <si>
    <t>Conductor AAC IEC 60228; Aislamiento XLPE Enersis E-BT-001; Chaqueta PVC Enersis E-BT-001; RESOLUCIÓN 90708 de 2013 MinMinas - RETIE (Numeral 20.2)</t>
  </si>
  <si>
    <t>CENTELSA by Nexans</t>
  </si>
  <si>
    <t>#ERROR!</t>
  </si>
  <si>
    <t>Transporta la energía AC proveniente de los inversores hasta el tablero fotovoltaico</t>
  </si>
  <si>
    <t>https://drive.google.com/drive/folders/1ZzNG4wJkT5JbLCHUvJnFnDMEk8vYy9FV</t>
  </si>
  <si>
    <t>PROV-0061</t>
  </si>
  <si>
    <t>L044</t>
  </si>
  <si>
    <t>Durman</t>
  </si>
  <si>
    <t>DUCTOS ELÉCTRICOS Y TELEFÓNICOS DB 3M 2 pulg
Referencia 2016200</t>
  </si>
  <si>
    <t>NTC 1630 Tubos de PVC para alojar y proteger conductores subterráneos eléctricos y telefónicos
Resolución 9 0708 RETIE Accesorios de PVC para Tubería Conduit Cajas de PVC para Instalaciones Eléctricas</t>
  </si>
  <si>
    <t>Durman by aliaxis</t>
  </si>
  <si>
    <t>La tubería se encarga de proteger el cable de conexión entre los inversores y el tablero fotovoltaico.</t>
  </si>
  <si>
    <t>https://drive.google.com/drive/folders/1mapuxMqv4bBnC7lfc-hqPE-GkTStiuHX</t>
  </si>
  <si>
    <t>P01084</t>
  </si>
  <si>
    <t>L045</t>
  </si>
  <si>
    <t>DUCTOS ELÉCTRICOS Y TELEFÓNICOS DB 3M 2 pulg  referencia 2016201</t>
  </si>
  <si>
    <t>"NTC 1630 Tubos de PVC para alojar y proteger conductores subterráneos eléctricos y telefónicos
Resolución 9 0708 RETIE Accesorios de PVC para Tubería Conduit Cajas de PVC para Instalaciones Eléctricas"</t>
  </si>
  <si>
    <t>DUCTOS ELÉCTRICOS Y TELEFÓNICOS DB 3M 2 pulg  referencia 2016202</t>
  </si>
  <si>
    <t>DUCTOS ELÉCTRICOS Y TELEFÓNICOS DB 6M 4 pulg
Referencia 2016203</t>
  </si>
  <si>
    <t>La tubería se encarga de proteger el cable de conexión entre los inversores y el tablero fotovoltaico</t>
  </si>
  <si>
    <t>P01086</t>
  </si>
  <si>
    <t>DUCTOS ELÉCTRICOS Y TELEFÓNICOS DB 6M 6 pulg
Referencia 2016204</t>
  </si>
  <si>
    <t>La tubería se encarga de proteger el cable de conexión entre el transformador y el punto de interconexión del sistema con la red de media tensión</t>
  </si>
  <si>
    <t>P01218</t>
  </si>
  <si>
    <t>AISCAN</t>
  </si>
  <si>
    <t>TPI25 - Tubo corrugado ø 25</t>
  </si>
  <si>
    <t>IEC 61386-1 de 2008,Numeral 20.6.1 del Reglamento Técnico de Instalaciones Eléctricas - RETIE. Resolución 90708 de 30 de agosto
 de 2013 del Ministerio de Minas y Energías</t>
  </si>
  <si>
    <t>AISCAN, S.L.</t>
  </si>
  <si>
    <t>METALYCA</t>
  </si>
  <si>
    <t>343700,5</t>
  </si>
  <si>
    <t>https://drive.google.com/file/d/1YJxqQaepEEQ649OUca3H82F8Ekp1SYmq/view?usp=drive_link</t>
  </si>
  <si>
    <t>CERT003</t>
  </si>
  <si>
    <t>UV63 - Tubo anti UV en rollos ø 63</t>
  </si>
  <si>
    <t>https://drive.google.com/file/d/1cvsBxzgGhwkIH3rbQxqN0UMrB0oS8FVD/view?usp=drive_link</t>
  </si>
  <si>
    <t>P01049</t>
  </si>
  <si>
    <t>CERT004</t>
  </si>
  <si>
    <t>UV110 - Tubo anti UV en rollos ø 110</t>
  </si>
  <si>
    <t>445008,5</t>
  </si>
  <si>
    <t>P01051</t>
  </si>
  <si>
    <t>FUV-25 - Tubo curvable FUV ø 25</t>
  </si>
  <si>
    <t>PROV-0065</t>
  </si>
  <si>
    <t>DRN63 - Tubo enterrado normal en rollos ø 63</t>
  </si>
  <si>
    <t>P01050</t>
  </si>
  <si>
    <t>Bandejas portacables</t>
  </si>
  <si>
    <t>GALCO</t>
  </si>
  <si>
    <t>BELG305</t>
  </si>
  <si>
    <t>Certificado Retie y Nema en sistemas de conducción eléctrica
Certificado de calidad en galvanizado en caliente norma Astm A -123/Astm A 153
DIN 4102-12
ISO 9001: 2015</t>
  </si>
  <si>
    <t>GALCO S.A.S</t>
  </si>
  <si>
    <t>Estructuras metálicas que sirven para transportar conductores eléctricos desde paneles solares a inversores de manera segura</t>
  </si>
  <si>
    <t>https://drive.google.com/drive/folders/16DfZviR3HK2rweX-OL9dVN7BhLUkxsmx</t>
  </si>
  <si>
    <t>P00149</t>
  </si>
  <si>
    <t>L047</t>
  </si>
  <si>
    <t>Bandejas Portacables</t>
  </si>
  <si>
    <t>TSEG30</t>
  </si>
  <si>
    <t>Certificado Retie y Nema en sistemas de conducción eléctrica Certificado de calidad en galvanizado en caliente norma Astm A -123/Astm A 153 DIN 4102-12 ISO 9001: 2015</t>
  </si>
  <si>
    <t>Tapas galvanizadas para bandejas portacables. Su función es proveer seguridad a las personas y preservar la vida útil del cableado.</t>
  </si>
  <si>
    <t>P00952</t>
  </si>
  <si>
    <t>CTEC028</t>
  </si>
  <si>
    <t>Chapa de puesta a tierra especial para bandeja enmallada</t>
  </si>
  <si>
    <t>Soporte Peldaño Perfil Dentado</t>
  </si>
  <si>
    <t>ASTM A123, ASTM A153, ICONTEC 2076</t>
  </si>
  <si>
    <t>Perfil ranurado utilizado para sujetar la bandeja enmallada a la estructura de los inversores</t>
  </si>
  <si>
    <t>https://drive.google.com/drive/folders/1k72A9tHRxR4FYo5g4XGyAuGmLdv4Ehbz</t>
  </si>
  <si>
    <t>P00924</t>
  </si>
  <si>
    <t>L048</t>
  </si>
  <si>
    <t xml:space="preserve">Canalizaciones: canaletas, tubos, prefabricadas con barras o con cables, ductos subterráneos
</t>
  </si>
  <si>
    <t>FUJI</t>
  </si>
  <si>
    <t>IMC Diámetro 2"</t>
  </si>
  <si>
    <t>CUBIERTAS DEL ECUADOR KUBIEC S.A.S</t>
  </si>
  <si>
    <t>La tubería se encarga de proteger el cable de tierra que es instalado desde el DPS polimérico instalado en poste hasta la varilla de puesta a tierra</t>
  </si>
  <si>
    <t>https://drive.google.com/drive/folders/1zltBsmz7UT_9bFiuYPX3SOcyXyvmfjUO</t>
  </si>
  <si>
    <t>P01076</t>
  </si>
  <si>
    <t>L049</t>
  </si>
  <si>
    <t>ColmenaConduit</t>
  </si>
  <si>
    <t>RESOLUCIÓN 90708 de 2013 del MINISTERIO DE MINAS Y ENERGÍA – RETIE (Numeral 20.6)</t>
  </si>
  <si>
    <t>CONSORCIO METALÚRGICO NACIONAL S.A.S – COLMENA S.A.S.</t>
  </si>
  <si>
    <t>IE INTER ELECTRICAS</t>
  </si>
  <si>
    <t>La tubería se encarga de proteger el cableado AC en media tensión que es instalado desde la celda de protección hasta el punto de interconexión a la red del Operador de Red</t>
  </si>
  <si>
    <t>https://drive.google.com/drive/folders/1MhO1h59Q9qXK_vTaK-CIkpbl3K6HpvYJ</t>
  </si>
  <si>
    <t>L050</t>
  </si>
  <si>
    <t>IMC Diámetro 3/4"</t>
  </si>
  <si>
    <t>RESOLUCIÓN 90708 de 2013 del MINISTERIO DE MINAS Y ENERGÍA - RETIE (Numeral 20.6)</t>
  </si>
  <si>
    <t>P01072</t>
  </si>
  <si>
    <t>IMC Diámetro 4"</t>
  </si>
  <si>
    <t xml:space="preserve">La tubería se encarga de proteger el cableado AC en media tensión que es instalado desde la celda de protección hasta el punto de interconexión a la red del Operador de Red </t>
  </si>
  <si>
    <t>P01078</t>
  </si>
  <si>
    <t>Elementos o equipos para el sistema de puesta a tierra (varillas, mallas, grapas, conectores)</t>
  </si>
  <si>
    <t>PROELECTRA DE COLOMBIA S.A.S</t>
  </si>
  <si>
    <t>Varilla Cobrizada para Puesta a Tierra, con Longitud de 2400 mm, diámetro de 14.28 mm y recubrimiento de 250 micras</t>
  </si>
  <si>
    <t>Reglamento Técnico de Instalaciones Eléctricas RETIE Resolución 90708 de 2013 articulo 20 numerales 15.3.1 (Electrodos de Puesta a Tierra), 20.21 (Electrodos de Puesta a Tierra), 20.21.1 (Requisitos de producto) y NTC 2206:2001, numerales 10, 10.1, 10.2, 10.2.4 y 10.2.5</t>
  </si>
  <si>
    <t>Componente esencial del sistema de puesta a tierra, permite la desviación de fallas de corriente o descargas atmosféricas a tierra</t>
  </si>
  <si>
    <t>https://drive.google.com/drive/folders/17k0D3Iq77oQe-UuiCTdFj3qmrrBOhjpT</t>
  </si>
  <si>
    <t>P01118</t>
  </si>
  <si>
    <t>L051</t>
  </si>
  <si>
    <t>COBRES DE COLOMBIA S.A.S.</t>
  </si>
  <si>
    <t>Varilla maciza de cobre para puesta a tierra, diámetro 14.28 mm, longitud 2.40 m, conforme a referencia CC-E (12.7 a 25.4 mm x 2.40 m a 3.05 m)</t>
  </si>
  <si>
    <t>NTC 2206/2001 y Resolución 90708 de 2013 (RETIE, numeral 15.3)</t>
  </si>
  <si>
    <t>TECNOWELD</t>
  </si>
  <si>
    <t>SG1TN 505</t>
  </si>
  <si>
    <t>UL E359848</t>
  </si>
  <si>
    <t>Elemento necesario para unir las derivaciones del sistema de puesta a tierra y para crear el enmallado</t>
  </si>
  <si>
    <t>https://drive.google.com/drive/folders/1pk3Chg0WPdSs3zFuvtOAq2cZq7GmCGiH</t>
  </si>
  <si>
    <t>P00722</t>
  </si>
  <si>
    <t>L052</t>
  </si>
  <si>
    <t>SG1TN 228*</t>
  </si>
  <si>
    <t>https://drive.google.com/drive/folders/1952XiGV0w36dsIiIExLhkqevtMrpHBRI</t>
  </si>
  <si>
    <t>P00728</t>
  </si>
  <si>
    <t>L053</t>
  </si>
  <si>
    <t>SG1TN 430</t>
  </si>
  <si>
    <t>https://drive.google.com/drive/folders/1zM0Rev7y-YlY1Lu-IhgyfZF61zp_12Pg</t>
  </si>
  <si>
    <t>P00729</t>
  </si>
  <si>
    <t>L054</t>
  </si>
  <si>
    <t>SG1TN 230</t>
  </si>
  <si>
    <t>https://drive.google.com/drive/folders/1tps3gz5TqHg0vAXmzvpr4j8-QrZLp9BC</t>
  </si>
  <si>
    <t>P00726</t>
  </si>
  <si>
    <t>L055</t>
  </si>
  <si>
    <t>SG1TN 547</t>
  </si>
  <si>
    <t>https://drive.google.com/drive/folders/1Avw32_rbo6CYnhy6rrgWk4I6QwIKCB1N</t>
  </si>
  <si>
    <t>P00727</t>
  </si>
  <si>
    <t>L056</t>
  </si>
  <si>
    <t>Fusibles y porta fusibles</t>
  </si>
  <si>
    <t>LUHFSER</t>
  </si>
  <si>
    <t>Tipo K de 65 Amperios para 36 kV - Frecuencia 50-60 Hz</t>
  </si>
  <si>
    <t>Numeral 20.19 del Reglamento Técnico de Instalaciones Eléctricas - RETIE. Resolución 90708 de 30 de agosto de 2013 del Ministerio de Minas y Energías.
IEEE Std C37.41-2016/Cor 1-2017, IEEE Std C37,42-2016,
NTC 2132-2006, NTC 2133 2002.</t>
  </si>
  <si>
    <t>ELÉCTRICOS INTERNACIONAL SAS.</t>
  </si>
  <si>
    <t>Corta el paso de corriente cuando se detecta una sobrecarga en el circuito para proteger el transformador y los circuitos ramales</t>
  </si>
  <si>
    <t>https://drive.google.com/drive/folders/1NtmZ4yB99ueHXrp27z2cSBUmOCh153xK</t>
  </si>
  <si>
    <t>P01387</t>
  </si>
  <si>
    <t>L057</t>
  </si>
  <si>
    <t>CORTACIRCUITOS 27 KV 100A 12 kA IX2712512</t>
  </si>
  <si>
    <t>ANSI C37.41 (NTC2132) y ANSI C37.42 (NTC 2133.)</t>
  </si>
  <si>
    <t>CELSA S.A.S.</t>
  </si>
  <si>
    <t>Corta el paso de corriente cuando se detecta una sobrecarga en el circuito</t>
  </si>
  <si>
    <t>https://drive.google.com/drive/folders/1OPYaLQLL6VZHhXpN15KvOt-I2PiB0Fu0</t>
  </si>
  <si>
    <t>P00503</t>
  </si>
  <si>
    <t>L058</t>
  </si>
  <si>
    <t>Dispositivos de protección contra sobretensiones transitorias (DPS), descargadores de rayos, apantallamiento</t>
  </si>
  <si>
    <t>DPS C-15 MODELO 58470</t>
  </si>
  <si>
    <t>IEC 60099-4</t>
  </si>
  <si>
    <t>Protección contra sobretensiones en el punto de interconexión a la línea de media tensión</t>
  </si>
  <si>
    <t>https://drive.google.com/drive/folders/1bgF94U4rhIaJc_Zw8FBt3IamQ1AVSDqu</t>
  </si>
  <si>
    <t>P00556</t>
  </si>
  <si>
    <t>L059</t>
  </si>
  <si>
    <t>PROV-0066</t>
  </si>
  <si>
    <t>PROV-0067</t>
  </si>
  <si>
    <t>PROV-0068</t>
  </si>
  <si>
    <t>PROV-0069</t>
  </si>
  <si>
    <t>PROV-0070</t>
  </si>
  <si>
    <t>PROV-0071</t>
  </si>
  <si>
    <t>PROV-0072</t>
  </si>
  <si>
    <t>PROV-0073</t>
  </si>
  <si>
    <t>PROV-0074</t>
  </si>
  <si>
    <t>PROV-0075</t>
  </si>
  <si>
    <t>PROV-0076</t>
  </si>
  <si>
    <t>PROV-0077</t>
  </si>
  <si>
    <t>PROV-0078</t>
  </si>
  <si>
    <t>PROV-0079</t>
  </si>
  <si>
    <t>PROV-0080</t>
  </si>
  <si>
    <t>PROV-0081</t>
  </si>
  <si>
    <t>PROV-0082</t>
  </si>
  <si>
    <t>PROV-0083</t>
  </si>
  <si>
    <t>PROV-0084</t>
  </si>
  <si>
    <t>PROV-0085</t>
  </si>
  <si>
    <t>PROV-0086</t>
  </si>
  <si>
    <t>PROV-0087</t>
  </si>
  <si>
    <t>PROV-0088</t>
  </si>
  <si>
    <t>PROV-0089</t>
  </si>
  <si>
    <t>PROV-0090</t>
  </si>
  <si>
    <t>PROV-0091</t>
  </si>
  <si>
    <t>PROV-0092</t>
  </si>
  <si>
    <t>PROV-0093</t>
  </si>
  <si>
    <t>PROV-0094</t>
  </si>
  <si>
    <t>PROV-0095</t>
  </si>
  <si>
    <t>PROV-0096</t>
  </si>
  <si>
    <t>PROV-0097</t>
  </si>
  <si>
    <t>PROV-0098</t>
  </si>
  <si>
    <t>PROV-0099</t>
  </si>
  <si>
    <t>PROV-0100</t>
  </si>
  <si>
    <t>PROV-0101</t>
  </si>
  <si>
    <t>PROV-0102</t>
  </si>
  <si>
    <t>PROV-0103</t>
  </si>
  <si>
    <t>PROV-0104</t>
  </si>
  <si>
    <t>PROV-0105</t>
  </si>
  <si>
    <t>PROV-0106</t>
  </si>
  <si>
    <t>PROV-0107</t>
  </si>
  <si>
    <t>PROV-0108</t>
  </si>
  <si>
    <t>PROV-0109</t>
  </si>
  <si>
    <t>PROV-0110</t>
  </si>
  <si>
    <t>PROV-0111</t>
  </si>
  <si>
    <t>PROV-0112</t>
  </si>
  <si>
    <t>PROV-0113</t>
  </si>
  <si>
    <t>PROV-0114</t>
  </si>
  <si>
    <t>PROV-0115</t>
  </si>
  <si>
    <t>PROV-0116</t>
  </si>
  <si>
    <t>PROV-0117</t>
  </si>
  <si>
    <t>PROV-0118</t>
  </si>
  <si>
    <t>PROV-0119</t>
  </si>
  <si>
    <t>PROV-0120</t>
  </si>
  <si>
    <t>PROV-0121</t>
  </si>
  <si>
    <t>PROV-0122</t>
  </si>
  <si>
    <t>PROV-0123</t>
  </si>
  <si>
    <t>PROV-0124</t>
  </si>
  <si>
    <t>PROV-0125</t>
  </si>
  <si>
    <t>PROV-0126</t>
  </si>
  <si>
    <t>PROV-0127</t>
  </si>
  <si>
    <t>PROV-0128</t>
  </si>
  <si>
    <t>PROV-0129</t>
  </si>
  <si>
    <t>PROV-0130</t>
  </si>
  <si>
    <t>PROV-0131</t>
  </si>
  <si>
    <t>PROV-0132</t>
  </si>
  <si>
    <t>PROV-0133</t>
  </si>
  <si>
    <t>PROV-0134</t>
  </si>
  <si>
    <t>PROV-0135</t>
  </si>
  <si>
    <t>PROV-0136</t>
  </si>
  <si>
    <t>PROV-0137</t>
  </si>
  <si>
    <t>PROV-0138</t>
  </si>
  <si>
    <t>PROV-0139</t>
  </si>
  <si>
    <t>PROV-0140</t>
  </si>
  <si>
    <t>PROV-0141</t>
  </si>
  <si>
    <t>PROV-0142</t>
  </si>
  <si>
    <t>PROV-0143</t>
  </si>
  <si>
    <t>PROV-0144</t>
  </si>
  <si>
    <t>PROV-0145</t>
  </si>
  <si>
    <t>PROV-0146</t>
  </si>
  <si>
    <t>PROV-0147</t>
  </si>
  <si>
    <t>PROV-0148</t>
  </si>
  <si>
    <t>PROV-0149</t>
  </si>
  <si>
    <t>PROV-0150</t>
  </si>
  <si>
    <t>PROV-0151</t>
  </si>
  <si>
    <t>PROV-0152</t>
  </si>
  <si>
    <t>PROV-0153</t>
  </si>
  <si>
    <t>PROV-0154</t>
  </si>
  <si>
    <t>PROV-0155</t>
  </si>
  <si>
    <t>PROV-0156</t>
  </si>
  <si>
    <t>PROV-0157</t>
  </si>
  <si>
    <t>PROV-0158</t>
  </si>
  <si>
    <t>PROV-0159</t>
  </si>
  <si>
    <t>PROV-0160</t>
  </si>
  <si>
    <t>PROV-0161</t>
  </si>
  <si>
    <t>PROV-0162</t>
  </si>
  <si>
    <t>PROV-0163</t>
  </si>
  <si>
    <t>PROV-0164</t>
  </si>
  <si>
    <t>PROV-0165</t>
  </si>
  <si>
    <t>PROV-0166</t>
  </si>
  <si>
    <t>PROV-0167</t>
  </si>
  <si>
    <t>PROV-0168</t>
  </si>
  <si>
    <t>PROV-0169</t>
  </si>
  <si>
    <t>PROV-0170</t>
  </si>
  <si>
    <t>PROV-0171</t>
  </si>
  <si>
    <t>PROV-0172</t>
  </si>
  <si>
    <t>PROV-0173</t>
  </si>
  <si>
    <t>PROV-0174</t>
  </si>
  <si>
    <t>PROV-0175</t>
  </si>
  <si>
    <t>PROV-0176</t>
  </si>
  <si>
    <t>PROV-0177</t>
  </si>
  <si>
    <t>PROV-0178</t>
  </si>
  <si>
    <t>PROV-0179</t>
  </si>
  <si>
    <t>PROV-0180</t>
  </si>
  <si>
    <t>PROV-0181</t>
  </si>
  <si>
    <t>PROV-0182</t>
  </si>
  <si>
    <t>PROV-0183</t>
  </si>
  <si>
    <t>PROV-0184</t>
  </si>
  <si>
    <t>PROV-0185</t>
  </si>
  <si>
    <t>PROV-0186</t>
  </si>
  <si>
    <t>PROV-0187</t>
  </si>
  <si>
    <t>PROV-0188</t>
  </si>
  <si>
    <t>PROV-0189</t>
  </si>
  <si>
    <t>PROV-0190</t>
  </si>
  <si>
    <t>PROV-0191</t>
  </si>
  <si>
    <t>PROV-0192</t>
  </si>
  <si>
    <t>PROV-0193</t>
  </si>
  <si>
    <t>PROV-0194</t>
  </si>
  <si>
    <t>PROV-0195</t>
  </si>
  <si>
    <t>PROV-0196</t>
  </si>
  <si>
    <t>PROV-0197</t>
  </si>
  <si>
    <t>PROV-0198</t>
  </si>
  <si>
    <t>PROV-0199</t>
  </si>
  <si>
    <t>PROV-0200</t>
  </si>
  <si>
    <t>PROV-0201</t>
  </si>
  <si>
    <t>PROV-0202</t>
  </si>
  <si>
    <t>PROV-0203</t>
  </si>
  <si>
    <t>PROV-0204</t>
  </si>
  <si>
    <t>PROV-0205</t>
  </si>
  <si>
    <t>PROV-0206</t>
  </si>
  <si>
    <t>PROV-0207</t>
  </si>
  <si>
    <t>PROV-0208</t>
  </si>
  <si>
    <t>PROV-0209</t>
  </si>
  <si>
    <t>PROV-0210</t>
  </si>
  <si>
    <t>PROV-0211</t>
  </si>
  <si>
    <t>PROV-0212</t>
  </si>
  <si>
    <t>PROV-0213</t>
  </si>
  <si>
    <t>PROV-0214</t>
  </si>
  <si>
    <t>PROV-0215</t>
  </si>
  <si>
    <t>PROV-0216</t>
  </si>
  <si>
    <t>PROV-0217</t>
  </si>
  <si>
    <t>PROV-0218</t>
  </si>
  <si>
    <t>PROV-0219</t>
  </si>
  <si>
    <t>PROV-0220</t>
  </si>
  <si>
    <t>PROV-0221</t>
  </si>
  <si>
    <t>PROV-0222</t>
  </si>
  <si>
    <t>PROV-0223</t>
  </si>
  <si>
    <t>PROV-0224</t>
  </si>
  <si>
    <t>PROV-0225</t>
  </si>
  <si>
    <t>Rol Solicitante principal</t>
  </si>
  <si>
    <t>Rol Solicitante secundario</t>
  </si>
  <si>
    <t xml:space="preserve">Recurso Energético - Tipo de FNCE Biomasa </t>
  </si>
  <si>
    <t xml:space="preserve">Tecnología - Tipo de FNCE Biomasa </t>
  </si>
  <si>
    <t>Departamentos</t>
  </si>
  <si>
    <t>Dueño del proyecto</t>
  </si>
  <si>
    <t>Entidad Bancaria</t>
  </si>
  <si>
    <t>Bagazo</t>
  </si>
  <si>
    <t>Biogás</t>
  </si>
  <si>
    <t>Instalador</t>
  </si>
  <si>
    <t>Gasificación</t>
  </si>
  <si>
    <t>AMAZONAS</t>
  </si>
  <si>
    <t>Importador</t>
  </si>
  <si>
    <t>Calor Residual</t>
  </si>
  <si>
    <t>Pirolización</t>
  </si>
  <si>
    <t>ANTIOQUIA</t>
  </si>
  <si>
    <t>Otro</t>
  </si>
  <si>
    <t>Repoblaciones Residuales Energéticas</t>
  </si>
  <si>
    <t>Cultivos_energéticos</t>
  </si>
  <si>
    <t>ARAUCA</t>
  </si>
  <si>
    <t>Residuos Agrícolas (desechos de los cultivos)</t>
  </si>
  <si>
    <t>Generación_cogeneración</t>
  </si>
  <si>
    <t>ARCHIPIELAGO DE SAN ANDRES PROVIDENCIA Y SANTA CATALINA</t>
  </si>
  <si>
    <t>Tipo de Generador</t>
  </si>
  <si>
    <t>Residuos Pecuarios (excremento de los animales)</t>
  </si>
  <si>
    <t>ATLANTICO</t>
  </si>
  <si>
    <t>Autogenerador</t>
  </si>
  <si>
    <t>Niveles de tensión</t>
  </si>
  <si>
    <t>Residuos Sólidos Urbanos (orgánicos)</t>
  </si>
  <si>
    <t>BOGOTA D.C.</t>
  </si>
  <si>
    <t>Cogenerador</t>
  </si>
  <si>
    <t>Mayor o igual a 220 kV.</t>
  </si>
  <si>
    <t>Sistemas de Acopio de Biomasa</t>
  </si>
  <si>
    <t>BOLÍVAR</t>
  </si>
  <si>
    <t>Generador</t>
  </si>
  <si>
    <t>Nivel 4: mayor o igual a 57.5 kV y menor a 220 kV.</t>
  </si>
  <si>
    <t>BOYACÁ</t>
  </si>
  <si>
    <t>Nivel 3: mayor o igual a 30 kV y menor a 57.5 kV.</t>
  </si>
  <si>
    <t>CALDAS</t>
  </si>
  <si>
    <t>Nivel 2: mayor o igual a 1 kV y menor a 30 kV.</t>
  </si>
  <si>
    <t>CAQUETÁ</t>
  </si>
  <si>
    <t>Nivel 1: menor a 1 kV.</t>
  </si>
  <si>
    <t>Tecnología - Tipo de FNCE Eólica</t>
  </si>
  <si>
    <t>CASANARE</t>
  </si>
  <si>
    <t>Eólica</t>
  </si>
  <si>
    <t>CAUCA</t>
  </si>
  <si>
    <t>Tipo de FNCE (Ley 1715 de 2014)</t>
  </si>
  <si>
    <t>CESAR</t>
  </si>
  <si>
    <t>Biomasa</t>
  </si>
  <si>
    <t>Tipo de FNCE</t>
  </si>
  <si>
    <t>Recurso Energético - Tipo de FNCE Eólica</t>
  </si>
  <si>
    <t>CHOCÓ</t>
  </si>
  <si>
    <t>Viento</t>
  </si>
  <si>
    <t>CÓRDOBA</t>
  </si>
  <si>
    <t>Geotérmica</t>
  </si>
  <si>
    <t>Tecnología - Tipo de FNCE Geotérmica</t>
  </si>
  <si>
    <t>CUNDINAMARCA</t>
  </si>
  <si>
    <t>PCH</t>
  </si>
  <si>
    <t>Central_de_vapor_seco</t>
  </si>
  <si>
    <t>GUAINÍA</t>
  </si>
  <si>
    <t>Solar</t>
  </si>
  <si>
    <t>Recurso Energético - Tipo de FNCE Geotérmica</t>
  </si>
  <si>
    <t>Central_flash</t>
  </si>
  <si>
    <t>GUAVIARE</t>
  </si>
  <si>
    <t>Vapor</t>
  </si>
  <si>
    <t>Central_de_ciclo_binario</t>
  </si>
  <si>
    <t>HUILA</t>
  </si>
  <si>
    <t>LA GUAJIRA</t>
  </si>
  <si>
    <t>MAGDALENA</t>
  </si>
  <si>
    <t>Recurso Energético - Tipo de FNCE PCH</t>
  </si>
  <si>
    <t>META</t>
  </si>
  <si>
    <t>Sector</t>
  </si>
  <si>
    <t xml:space="preserve">Agua </t>
  </si>
  <si>
    <t>Tecnología - Tipo de FNCE PCH</t>
  </si>
  <si>
    <t>NARIÑO</t>
  </si>
  <si>
    <t>Residencial</t>
  </si>
  <si>
    <t>Hidráulica</t>
  </si>
  <si>
    <t>NORTE DE SANTANDER</t>
  </si>
  <si>
    <t>Industrial</t>
  </si>
  <si>
    <t>Hidrocinética</t>
  </si>
  <si>
    <t>PUTUMAYO</t>
  </si>
  <si>
    <t>Transporte</t>
  </si>
  <si>
    <t>Recurso Energético - Tipo de FNCE Solar</t>
  </si>
  <si>
    <t>QUINDIO</t>
  </si>
  <si>
    <t>Terciario (comercial, público y de servicios)</t>
  </si>
  <si>
    <t>Sol</t>
  </si>
  <si>
    <t>RISARALDA</t>
  </si>
  <si>
    <t>Generación eléctrica</t>
  </si>
  <si>
    <t>SANTANDER</t>
  </si>
  <si>
    <t>Tecnología - Tipo de FNCE Solar</t>
  </si>
  <si>
    <t>SUCRE</t>
  </si>
  <si>
    <t>Selección</t>
  </si>
  <si>
    <t>Fotovoltaica</t>
  </si>
  <si>
    <t>TOLIMA</t>
  </si>
  <si>
    <t>VALLE DEL CAUCA</t>
  </si>
  <si>
    <t>X</t>
  </si>
  <si>
    <t>VAUPÉS</t>
  </si>
  <si>
    <t>VICHADA</t>
  </si>
  <si>
    <t>Kilogramos</t>
  </si>
  <si>
    <t>Codigos CIIU</t>
  </si>
  <si>
    <t>Cumple</t>
  </si>
  <si>
    <t>0010 - Asalariado</t>
  </si>
  <si>
    <t>Preinversión</t>
  </si>
  <si>
    <t>0141 - Cria de ganado bovino y bufalino</t>
  </si>
  <si>
    <t>Inversión</t>
  </si>
  <si>
    <t xml:space="preserve">0142- Cría de caballos y otros equinos </t>
  </si>
  <si>
    <t>No cumple</t>
  </si>
  <si>
    <t>Operación</t>
  </si>
  <si>
    <t xml:space="preserve">0143- Cría de ovejas y cabras </t>
  </si>
  <si>
    <t>No aplica</t>
  </si>
  <si>
    <t>0144 -Cría de ganado porcino</t>
  </si>
  <si>
    <t>0145 -Cría de aves de corra</t>
  </si>
  <si>
    <t>Resultado</t>
  </si>
  <si>
    <t>0149 -Cría de otros animales n.c.p.</t>
  </si>
  <si>
    <t>SIN</t>
  </si>
  <si>
    <t>0150 -Explotación mixta (agrícola y pecuaria)</t>
  </si>
  <si>
    <t>Favorable</t>
  </si>
  <si>
    <t>ZNI</t>
  </si>
  <si>
    <t>0161 -Actividades de apoyo a la agricultura</t>
  </si>
  <si>
    <t>Desfavorable</t>
  </si>
  <si>
    <t>0162 -Actividades de apoyo a la ganadería</t>
  </si>
  <si>
    <t>Requiere de información aclaratoria</t>
  </si>
  <si>
    <t>Si</t>
  </si>
  <si>
    <t>0163 -Actividades posteriores a la cosecha</t>
  </si>
  <si>
    <t>No</t>
  </si>
  <si>
    <t>0164 -Tratamiento de semillas para propagación</t>
  </si>
  <si>
    <t>0170 -Caza ordinaria y mediante trampas y actividades de servicios conexas</t>
  </si>
  <si>
    <t>0210 -Silvicultura y otras actividades forestales</t>
  </si>
  <si>
    <t>0220- Extracción de madera</t>
  </si>
  <si>
    <t>0230- Recolección de productos forestales diferentes a la madera</t>
  </si>
  <si>
    <t>0240- Servicios de apoyo a la silvicultura</t>
  </si>
  <si>
    <t>0311- Pesca marítima</t>
  </si>
  <si>
    <t>0312- Pesca de agua dulce</t>
  </si>
  <si>
    <t>0321- Acuicultura marítima</t>
  </si>
  <si>
    <t>0322- Acuicultura de agua dulce</t>
  </si>
  <si>
    <t>0510- Extracción de hulla (carbón de piedra)</t>
  </si>
  <si>
    <t>0520- Extracción de carbón lignito</t>
  </si>
  <si>
    <t>0610- Extracción de petróleo crudo</t>
  </si>
  <si>
    <t>0620- Extracción de gas natural</t>
  </si>
  <si>
    <t>0710- Extracción de minerales de hierro</t>
  </si>
  <si>
    <t>0721- Extracción de minerales de uranio y de torio</t>
  </si>
  <si>
    <t>0722- Extracción de oro y otros metales preciosos</t>
  </si>
  <si>
    <t>0723- Extracción de minerales de níque</t>
  </si>
  <si>
    <t>0729- Extracción de otros minerales metalíferos no ferrosos n.c.p.</t>
  </si>
  <si>
    <t>0811- Extracción de piedra, arena, arcillas comunes, yeso y anhidrita</t>
  </si>
  <si>
    <t>0812- Extracción de arcillas de uso industrial, caliza, caolín y bentonitas</t>
  </si>
  <si>
    <t>0820- Extracción de esmeraldas, piedras preciosas y semipreciosas</t>
  </si>
  <si>
    <t>0891- Extracción de minerales para la fabricación de abonos y productos químicos</t>
  </si>
  <si>
    <t>0892- Extracción de halita (sal)</t>
  </si>
  <si>
    <t>0899- Extracción de otros minerales no metálicos n.c.p.</t>
  </si>
  <si>
    <t>0910- Actividades de apoyo para la extracción de petróleo y de gas natura</t>
  </si>
  <si>
    <t>0990- Actividades de apoyo para otras actividades de explotación de minas y canteras</t>
  </si>
  <si>
    <t>1011 - Procesamiento y conservación de carne y productos cárnicos</t>
  </si>
  <si>
    <t>1012 - Procesamiento y conservación de pescados, crustáceos y moluscos</t>
  </si>
  <si>
    <t>1020 - Procesamiento y conservación de frutas, legumbres, hortalizas y tubérculos</t>
  </si>
  <si>
    <t>1030 - Elaboración de aceites y grasas de origen vegetal y animal</t>
  </si>
  <si>
    <t>1040 - Elaboración de productos lácteos</t>
  </si>
  <si>
    <t>1051 - Elaboración de productos de molinería</t>
  </si>
  <si>
    <t>1052 - Elaboración de almidones y productos derivados del almidón</t>
  </si>
  <si>
    <t>1061 - Trilla de café</t>
  </si>
  <si>
    <t>1062 - Descafeinado, tostión y molienda del café</t>
  </si>
  <si>
    <t>1063 - Otros derivados del café</t>
  </si>
  <si>
    <t>1071 - Elaboración y refinación de azúcar</t>
  </si>
  <si>
    <t>1072 - Elaboración de panela</t>
  </si>
  <si>
    <t>1081 - Elaboración de productos de panadería</t>
  </si>
  <si>
    <t>1082 - Elaboración de cacao, chocolate y productos de confitería</t>
  </si>
  <si>
    <t>1083 - Elaboración de macarrones, fideos, alcuzcuz y productos farináceos similares</t>
  </si>
  <si>
    <t>1084 - Elaboración de comidas y platos preparados</t>
  </si>
  <si>
    <t>1089 - Elaboración de otros productos alimenticios n.c.p.</t>
  </si>
  <si>
    <t>1090 - Elaboración de alimentos preparados para animales</t>
  </si>
  <si>
    <t>1101 - Destilación, rectificación y mezcla de bebidas alcohólicas</t>
  </si>
  <si>
    <t>1102 - Elaboración de bebidas fermentadas no destiladas</t>
  </si>
  <si>
    <t>1103 - Producción de malta, elaboración de cervezas y otras bebidas malteadas</t>
  </si>
  <si>
    <t>1104 - Elaboración de bebidas no alcohólicas, producción de aguas minerales y de otras aguas embotelladas</t>
  </si>
  <si>
    <t>1200 - Elaboración de productos de tabaco</t>
  </si>
  <si>
    <t>1311 - Preparación e hilatura de fibras textiles</t>
  </si>
  <si>
    <t>1312 - Tejeduría de productos textiles</t>
  </si>
  <si>
    <t>1313 - Acabado de productos textiles</t>
  </si>
  <si>
    <t>1391 - Fabricación de tejidos de punto y ganchillo</t>
  </si>
  <si>
    <t>1392 - Confección de artículos con materiales textiles, excepto prendas de vestir</t>
  </si>
  <si>
    <t>1393 - Fabricación de tapetes y alfombras para pisos</t>
  </si>
  <si>
    <t>1394 - Fabricación de cuerdas, cordeles, cables, bramantes y redes</t>
  </si>
  <si>
    <t>1399 - Fabricación de otros artículos textiles n.c.p.</t>
  </si>
  <si>
    <t>1410 - Confección de prendas de vestir, excepto prendas de piel</t>
  </si>
  <si>
    <t>1420 - Fabricación de artículos de piel</t>
  </si>
  <si>
    <t>1430 - Fabricación de artículos de punto y ganchillo</t>
  </si>
  <si>
    <t>1511 - Curtido y recurtido de cueros; recurtido y teñido de pieles</t>
  </si>
  <si>
    <t>1512 - Fabricación de artículos de viaje, bolsos de mano y artículos similares elaborados en cuero, y fabricación de artículos de talabartería y guarnicionería</t>
  </si>
  <si>
    <t>1513 - Fabricación de artículos de viaje, bolsos de mano y artículos similares; artículos de talabartería y guarnicionería elaborados en otros materiales</t>
  </si>
  <si>
    <t>1521 - Fabricación de calzado de cuero y piel, con cualquier tipo de suela</t>
  </si>
  <si>
    <t>1522 - Fabricación de otros tipos de calzado, excepto calzado de cuero y piel</t>
  </si>
  <si>
    <t>1523 - Fabricación de partes del calzado</t>
  </si>
  <si>
    <t>1610 - Aserrado, acepillado e impregnación de la madera</t>
  </si>
  <si>
    <t>1620 - Fabricación de hojas de madera para enchapado; fabricación de tableros contrachapados, tableros laminados, tableros de partículas y otros tableros y paneles</t>
  </si>
  <si>
    <t>1630 - Fabricación de partes y piezas de madera, de carpintería y ebanistería para la construcción</t>
  </si>
  <si>
    <t>1640 - Fabricación de recipientes de madera</t>
  </si>
  <si>
    <t>1690 - Fabricación de otros productos de madera; fabricación de artículos de corcho, cestería y espartería</t>
  </si>
  <si>
    <t>1701 - Fabricación de pulpas (pastas) celulósicas; papel y cartón</t>
  </si>
  <si>
    <t>1702 - Fabricación de papel y cartón ondulado (corrugado); fabricación de envases, empaques y de embalajes de papel y cartón.</t>
  </si>
  <si>
    <t>1709 - Fabricación de otros artículos de papel y cartón</t>
  </si>
  <si>
    <t>1811 - Actividades de impresión</t>
  </si>
  <si>
    <t>1812 - Actividades de servicios relacionados con la impresión</t>
  </si>
  <si>
    <t xml:space="preserve">1820 - Producción de copias a partir de grabaciones originales </t>
  </si>
  <si>
    <t>1910 - Fabricación de productos de hornos de coque</t>
  </si>
  <si>
    <t>1921 - Fabricación de productos de la refinación del petróleo</t>
  </si>
  <si>
    <t>1922 - Actividad de mezcla de combustibles</t>
  </si>
  <si>
    <t>2011 - Fabricación de sustancias y productos químicos básicos</t>
  </si>
  <si>
    <t>2012 - Fabricación de abonos y compuestos inorgánicos nitrogenados</t>
  </si>
  <si>
    <t>2013 - Fabricación de plásticos en formas primarias</t>
  </si>
  <si>
    <t>2014 - Fabricación de caucho sintético en formas primarias</t>
  </si>
  <si>
    <t>2021 - Fabricación de plaguicidas y otros productos químicos de uso agropecuario</t>
  </si>
  <si>
    <t>2022 - Fabricación de pinturas, barnices y revestimientos similares, tintas para impresión y masillas</t>
  </si>
  <si>
    <t>2023 - Fabricación de jabones y detergentes, preparados para limpiar y pulir; perfumes y preparados de tocador</t>
  </si>
  <si>
    <t>2029 - Fabricación de otros productos químicos n.c.p.</t>
  </si>
  <si>
    <t>2030 - Fabricación de fibras sintéticas y artificiales</t>
  </si>
  <si>
    <t>2211 - Fabricación de llantas y neumáticos de caucho</t>
  </si>
  <si>
    <t>2212 - Reencauche de llantas usadas</t>
  </si>
  <si>
    <t>2219 - Fabricación de formas básicas de caucho y otros productos de caucho n.c.p.</t>
  </si>
  <si>
    <t>2221 - Fabricación de formas básicas de plástico</t>
  </si>
  <si>
    <t>2229 - Fabricación de artículos de plástico n.c.p.</t>
  </si>
  <si>
    <t>2310 - Fabricación de vidrio y productos de vidrio</t>
  </si>
  <si>
    <t>2391 - Fabricación de productos refractarios</t>
  </si>
  <si>
    <t>2392 - Fabricación de materiales de arcilla para la construcción</t>
  </si>
  <si>
    <t>2393 - Fabricación de otros productos de cerámica y porcelana</t>
  </si>
  <si>
    <t>2394 - Fabricación de cemento, cal y yeso</t>
  </si>
  <si>
    <t>2395 - Fabricación de artículos de hormigón, cemento y yeso</t>
  </si>
  <si>
    <t>2396 - Corte, tallado y acabado de la piedra</t>
  </si>
  <si>
    <t>2399 - Fabricación de otros productos minerales no metálicos n.c.p.</t>
  </si>
  <si>
    <t>2410 - Industrias básicas de hierro y de acero</t>
  </si>
  <si>
    <t>2421 - Industrias básicas de metales preciosos</t>
  </si>
  <si>
    <t>2429 - Industrias básicas de otros metales no ferrosos</t>
  </si>
  <si>
    <t>2431 - Fundición de hierro y de acero</t>
  </si>
  <si>
    <t xml:space="preserve">2432 - Fundición de metales no ferrosos </t>
  </si>
  <si>
    <t>2511 - Fabricación de productos metálicos para uso estructural</t>
  </si>
  <si>
    <t>2512 - Fabricación de tanques, depósitos y recipientes de metal, excepto los utilizados para el envase o transporte de mercancías</t>
  </si>
  <si>
    <t>2513 - Fabricación de generadores de vapor, excepto calderas de agua caliente para calefacción central</t>
  </si>
  <si>
    <t>2520 - Fabricación de armas y municiones</t>
  </si>
  <si>
    <t>2591 - Forja, prensado, estampado y laminado de metal; pulvimetalurgia</t>
  </si>
  <si>
    <t>2592 - Tratamiento y revestimiento de metales; mecanizado</t>
  </si>
  <si>
    <t>2593 - Fabricación de artículos de cuchillería, herramientas de mano y artículos de ferretería</t>
  </si>
  <si>
    <t>2599 - Fabricación de otros productos elaborados de metal n.c.p.</t>
  </si>
  <si>
    <t>2610 - Fabricación de componentes y tableros electrónicos</t>
  </si>
  <si>
    <t>2620 - Fabricación de computadoras y de equipo periférico</t>
  </si>
  <si>
    <t>2630 - Fabricación de equipos de comunicación</t>
  </si>
  <si>
    <t>2640 - Fabricación de aparatos electrónicos de consumo</t>
  </si>
  <si>
    <t>2651 - Fabricación de equipo de medición, prueba, navegación y control</t>
  </si>
  <si>
    <t>2652 - Fabricación de relojes</t>
  </si>
  <si>
    <t>2660 - Fabricación de equipo de irradiación y equipo electrónico de uso médico y terapéutico</t>
  </si>
  <si>
    <t>2670 - Fabricación de instrumentos ópticos y equipo fotográfico</t>
  </si>
  <si>
    <t>2680 - Fabricación de medios magnéticos y ópticos para almacenamiento de datos</t>
  </si>
  <si>
    <t>2711 - Fabricación de motores, generadores y transformadores eléctricos</t>
  </si>
  <si>
    <t>2712 - Fabricación de aparatos de distribución y control de la energía eléctrica</t>
  </si>
  <si>
    <t>2720 - Fabricación de pilas, baterías y acumuladores eléctricos</t>
  </si>
  <si>
    <t>2731 - Fabricación de hilos y cables eléctricos y de fibra óptica</t>
  </si>
  <si>
    <t>2732 - Fabricación de dispositivos de cableado</t>
  </si>
  <si>
    <t>2740 - Fabricación de equipos eléctricos de iluminación</t>
  </si>
  <si>
    <t>2750 - Fabricación de aparatos de uso doméstico</t>
  </si>
  <si>
    <t>2790 - Fabricación de otros tipos de equipo eléctrico n.c.p.</t>
  </si>
  <si>
    <t>2812 - Fabricación de equipos de potencia hidráulica y neumática</t>
  </si>
  <si>
    <t>2813 - Fabricación de otras bombas, compresores, grifos y válvulas</t>
  </si>
  <si>
    <t>2814 - Fabricación de cojinetes, engranajes, trenes de engranajes y piezas de transmisión</t>
  </si>
  <si>
    <t>2815 - Fabricación de hornos, hogares y quemadores industriales</t>
  </si>
  <si>
    <t>2816 - Fabricación de equipo de elevación y manipulación</t>
  </si>
  <si>
    <t>2817 - Fabricación de maquinaria y equipo de oficina (excepto computadoras y equipo periférico)</t>
  </si>
  <si>
    <t>2818 - Fabricación de herramientas manuales con motor</t>
  </si>
  <si>
    <t>2819 - Fabricación de otros tipos de maquinaria y equipo de uso general n.c.p.</t>
  </si>
  <si>
    <t>2821 - Fabricación de maquinaria agropecuaria y forestal</t>
  </si>
  <si>
    <t>2822 - Fabricación de máquinas formadoras de metal y de máquinas herramienta</t>
  </si>
  <si>
    <t>2823 - Fabricación de maquinaria para la metalurgia</t>
  </si>
  <si>
    <t>2824 - Fabricación de maquinaria para explotación de minas y canteras y para obras de construcción</t>
  </si>
  <si>
    <t>2825 - Fabricación de maquinaria para la elaboración de alimentos, bebidas y tabaco</t>
  </si>
  <si>
    <t>2826 - Fabricación de maquinaria para la elaboración de productos textiles, prendas de vestir y cueros</t>
  </si>
  <si>
    <t>2829 - Fabricación de otros tipos de maquinaria y equipo de uso especial n.c.p.</t>
  </si>
  <si>
    <t>2910 - Fabricación de vehículos automotores y sus motores</t>
  </si>
  <si>
    <t xml:space="preserve">2920 - Fabricación de carrocerías para vehículos automotores; fabricación de remolques y semirremolques </t>
  </si>
  <si>
    <t>2930 - Fabricación de partes, piezas (autopartes) y accesorios (lujos) para vehículos automotores</t>
  </si>
  <si>
    <t>3011 - Construcción de barcos y de estructuras flotantes</t>
  </si>
  <si>
    <t>3012 - Construcción de embarcaciones de recreo y deporte</t>
  </si>
  <si>
    <t>3020 - Fabricación de locomotoras y de material rodante para ferrocarriles</t>
  </si>
  <si>
    <t>3030 - Fabricación de aeronaves, naves espaciales y de maquinaria conexa</t>
  </si>
  <si>
    <t>3040 - Fabricación de vehículos militares de combate</t>
  </si>
  <si>
    <t>3091 - Fabricación de motocicletas</t>
  </si>
  <si>
    <t>3092 - Fabricación de bicicletas y de sillas de ruedas para personas con discapacidad</t>
  </si>
  <si>
    <t>3099 - Fabricación de otros tipos de equipo de transporte n.c.p.</t>
  </si>
  <si>
    <t xml:space="preserve">3110 - Fabricación de muebles </t>
  </si>
  <si>
    <t>3120 - Fabricación de colchones y somieres</t>
  </si>
  <si>
    <t>3210 - Fabricación de joyas, bisutería y artículos conexos</t>
  </si>
  <si>
    <t>3220 - Fabricación de instrumentos musicales</t>
  </si>
  <si>
    <t>3230 - Fabricación de artículos y equipo para la práctica del deporte</t>
  </si>
  <si>
    <t>3240 - Fabricación de juegos, juguetes y rompecabezas</t>
  </si>
  <si>
    <t>3250 - Fabricación de instrumentos, aparatos y materiales médicos y odontológicos (incluido mobiliario)</t>
  </si>
  <si>
    <t>3290 - Otras industrias manufactureras n.c.p.</t>
  </si>
  <si>
    <t>3311 - Mantenimiento y reparación especializado de productos elaborados en metal</t>
  </si>
  <si>
    <t>3312 - Mantenimiento y reparación especializado de maquinaria y equipo</t>
  </si>
  <si>
    <t>3313 - Mantenimiento y reparación especializado de equipo electrónico y óptico</t>
  </si>
  <si>
    <t>3314 - Mantenimiento y reparación especializado de equipo eléctrico</t>
  </si>
  <si>
    <t>3315 - Mantenimiento y reparación especializado de equipo de transporte, excepto los vehículos automotores, motocicletas y bicicletas</t>
  </si>
  <si>
    <t>3319 - Mantenimiento y reparación de otros tipos de equipos y sus componentes n.c.p.</t>
  </si>
  <si>
    <t xml:space="preserve">3320 - Instalación especializada de maquinaria y equipo industrial </t>
  </si>
  <si>
    <t>3511 - Generación de energía eléctrica</t>
  </si>
  <si>
    <t>3512 - Transmisión de energía eléctrica</t>
  </si>
  <si>
    <t>3513 - Distribución de energía eléctrica</t>
  </si>
  <si>
    <t>3514 - Comercialización de energía eléctrica</t>
  </si>
  <si>
    <t>3520 - Producción de gas; distribución de combustibles gaseosos por tuberías</t>
  </si>
  <si>
    <t>3530 - Suministro de vapor y aire acondicionado</t>
  </si>
  <si>
    <t>3600 - Captación, tratamiento y distribución de agua</t>
  </si>
  <si>
    <t>3700 - Evacuación y tratamiento de aguas residuales</t>
  </si>
  <si>
    <t>3811 - Recolección de desechos no peligrosos</t>
  </si>
  <si>
    <t>3812 - Recolección de desechos peligrosos</t>
  </si>
  <si>
    <t>3821 - Tratamiento y disposición de desechos no peligrosos</t>
  </si>
  <si>
    <t>3822 - Tratamiento y disposición de desechos peligrosos</t>
  </si>
  <si>
    <t>3830 - Recuperación de materiales</t>
  </si>
  <si>
    <t>3900 - Actividades de saneamiento ambiental y otros servicios de gestión de desechos</t>
  </si>
  <si>
    <t>4111 - Construcción de edificios residenciales</t>
  </si>
  <si>
    <t>4112 - Construcción de edificios no residenciales</t>
  </si>
  <si>
    <t>4210 - Construcción de carreteras y vías de ferrocarril</t>
  </si>
  <si>
    <t>4220 - Construcción de proyectos de servicio público</t>
  </si>
  <si>
    <t>4290 - Construcción de otras obras de ingeniería civil</t>
  </si>
  <si>
    <t>4311 - Demolición</t>
  </si>
  <si>
    <t>4312 - Preparación del terreno</t>
  </si>
  <si>
    <t>4321 - Instalaciones eléctricas</t>
  </si>
  <si>
    <t>4322 - Instalaciones de fontanería, calefacción y aire acondicionado</t>
  </si>
  <si>
    <t>4329 - Otras instalaciones especializadas</t>
  </si>
  <si>
    <t>4330 - Terminación y acabado de edificios y obras de ingeniería civil</t>
  </si>
  <si>
    <t>4390 - Otras actividades especializadas para la construcción de edificios y obras de ingeniería civil</t>
  </si>
  <si>
    <t>4511 - Comercio de vehículos automotores nuevos</t>
  </si>
  <si>
    <t>4512 - Comercio de vehículos automotores usados</t>
  </si>
  <si>
    <t>4520 - Mantenimiento y reparación de vehículos automotores</t>
  </si>
  <si>
    <t>4530 - Comercio de partes, piezas (autopartes) y accesorios (lujos) para vehículos automotores</t>
  </si>
  <si>
    <t>4541 - Comercio de motocicletas y de sus partes, piezas y accesorios</t>
  </si>
  <si>
    <t>4610 - Comercio al por mayor a cambio de una retribución o por contrata</t>
  </si>
  <si>
    <t>4620 - Comercio al por mayor de materias primas agropecuarias; animales vivos</t>
  </si>
  <si>
    <t>4631 - Comercio al por mayor de productos alimenticios</t>
  </si>
  <si>
    <t>4632 - Comercio al por mayor de bebidas y tabaco</t>
  </si>
  <si>
    <t>4641 - Comercio al por mayor de productos textiles, productos confeccionados para uso doméstico</t>
  </si>
  <si>
    <t>4642 - Comercio al por mayor de prendas de vestir</t>
  </si>
  <si>
    <t>4643 - Comercio al por mayor de calzado</t>
  </si>
  <si>
    <t>4644 - Comercio al por mayor de aparatos y equipo de uso doméstico</t>
  </si>
  <si>
    <t>4645 - Comercio al por mayor de productos farmacéuticos, medicinales, cosméticos y de tocador</t>
  </si>
  <si>
    <t>4649 - Comercio al por mayor de otros utensilios domésticos n.c.p.</t>
  </si>
  <si>
    <t>4651 - Comercio al por mayor de computadores, equipo periférico y programas de informática</t>
  </si>
  <si>
    <t>4652 - Comercio al por mayor de equipo, partes y piezas electrónicos y de telecomunicaciones</t>
  </si>
  <si>
    <t>4653 - Comercio al por mayor de maquinaria y equipo agropecuarios</t>
  </si>
  <si>
    <t>4659 - Comercio al por mayor de otros tipos de maquinaria y equipo n.c.p.</t>
  </si>
  <si>
    <t>4661 - Comercio al por mayor de combustibles sólidos, líquidos, gaseosos y productos conexos</t>
  </si>
  <si>
    <t>4662 - Comercio al por mayor de metales y productos metalíferos</t>
  </si>
  <si>
    <t>4663 - Comercio al por mayor de materiales de construcción, artículos de ferretería, pinturas, productos de vidrio, equipo y materiales de fontanería y calefacción</t>
  </si>
  <si>
    <t>4664 - Comercio al por mayor de productos químicos básicos, cauchos y plásticos en formas primarias y productos químicos de uso agropecuario</t>
  </si>
  <si>
    <t>4665 - Comercio al por mayor de desperdicios, desechos y chatarra</t>
  </si>
  <si>
    <t>4669 - Comercio al por mayor de otros productos n.c.p.</t>
  </si>
  <si>
    <t>4690 - Comercio al por mayor no especializado</t>
  </si>
  <si>
    <t>4711 - Comercio al por menor en establecimientos no especializados con surtido compuesto principalmente por alimentos, bebidas o tabaco</t>
  </si>
  <si>
    <t>4719 - Comercio al por menor en establecimientos no especializados, con surtido compuesto principalmente por productos diferentes de alimentos (víveres en general), bebidas y tabaco</t>
  </si>
  <si>
    <t>4721 - Comercio al por menor de productos agrícolas para el consumo en establecimientos especializados</t>
  </si>
  <si>
    <t>4722 - Comercio al por menor de leche, productos lácteos y huevos, en establecimientos especializados</t>
  </si>
  <si>
    <t>4723 - Comercio al por menor de carnes (incluye aves de corral), productos cárnicos, pescados y productos de mar, en establecimientos especializados</t>
  </si>
  <si>
    <t>4724 - Comercio al por menor de bebidas y productos del tabaco, en establecimientos especializados</t>
  </si>
  <si>
    <t>4729 - Comercio al por menor de otros productos alimenticios n.c.p., en establecimientos especializados</t>
  </si>
  <si>
    <t>4731 - Comercio al por menor de combustible para automotores</t>
  </si>
  <si>
    <t>4732 - Comercio al por menor de lubricantes (aceites, grasas), aditivos y productos de limpieza para vehículos automotores</t>
  </si>
  <si>
    <t>4741 - Comercio al por menor de computadores, equipos periféricos, programas de informática y equipos de telecomunicaciones en establecimientos especializados</t>
  </si>
  <si>
    <t>4742 - Comercio al por menor de equipos y aparatos de sonido y de video, en establecimientos especializados</t>
  </si>
  <si>
    <t>4751 - Comercio al por menor de productos textiles en establecimientos especializados</t>
  </si>
  <si>
    <t>4752 - Comercio al por menor de artículos de ferretería, pinturas y productos de vidrio en establecimientos especializados</t>
  </si>
  <si>
    <t>4753 - Comercio al por menor de tapices, alfombras y cubrimientos para paredes y pisos en establecimientos especializados</t>
  </si>
  <si>
    <t>4754 - Comercio al por menor de electrodomésticos y gasodomésticos de uso doméstico, muebles y equipos de iluminación</t>
  </si>
  <si>
    <t>4755 - Comercio al por menor de artículos y utensilios de uso doméstico</t>
  </si>
  <si>
    <t>4759 - Comercio al por menor de otros artículos domésticos en establecimientos especializados</t>
  </si>
  <si>
    <t>4761 - Comercio al por menor de libros, periódicos, materiales y artículos de papelería y escritorio, en establecimientos especializados</t>
  </si>
  <si>
    <t xml:space="preserve">4762 - Comercio al por menor de artículos deportivos, en establecimientos especializados </t>
  </si>
  <si>
    <t>4769 - Comercio al por menor de otros artículos culturales y de entretenimiento n.c.p. en establecimientos especializados</t>
  </si>
  <si>
    <t>4771 - Comercio al por menor de prendas de vestir y sus accesorios (incluye artículos de piel) en establecimientos especializados</t>
  </si>
  <si>
    <t>4772 - Comercio al por menor de todo tipo de calzado y artículos de cuero y sucedáneos del cuero en establecimientos especializados.</t>
  </si>
  <si>
    <t>4773 - Comercio al por menor de productos farmacéuticos y medicinales, cosméticos y artículos de tocador en establecimientos especializados</t>
  </si>
  <si>
    <t>4774 - Comercio al por menor de otros productos nuevos en establecimientos especializados</t>
  </si>
  <si>
    <t>4775 - Comercio al por menor de artículos de segunda mano</t>
  </si>
  <si>
    <t>4781 - Comercio al por menor de alimentos, bebidas y tabaco, en puestos de venta móviles</t>
  </si>
  <si>
    <t>4782 - Comercio al por menor de productos textiles, prendas de vestir y calzado, en puestos de venta móviles</t>
  </si>
  <si>
    <t>4789 - Comercio al por menor de otros productos en puestos de venta móviles</t>
  </si>
  <si>
    <t>4791 - Comercio al por menor realizado a través de Internet</t>
  </si>
  <si>
    <t>4792 - Comercio al por menor realizado a través de casas de venta o por correo</t>
  </si>
  <si>
    <t>4799 - Otros tipos de comercio al por menor no realizado en establecimientos, puestos de venta o mercados.</t>
  </si>
  <si>
    <t>4911 - Transporte férreo de pasajeros</t>
  </si>
  <si>
    <t xml:space="preserve">4912 - Transporte férreo de carga </t>
  </si>
  <si>
    <t>4921 - Transporte de pasajeros</t>
  </si>
  <si>
    <t>4922 - Transporte mixto</t>
  </si>
  <si>
    <t>4923 - Transporte de carga por carretera</t>
  </si>
  <si>
    <t>4930 - Transporte por tuberías</t>
  </si>
  <si>
    <t xml:space="preserve">5011 - Transporte de pasajeros marítimo y de cabotaje </t>
  </si>
  <si>
    <t xml:space="preserve">5012 - Transporte de carga marítimo y de cabotaje </t>
  </si>
  <si>
    <t>5021 - Transporte fluvial de pasajeros</t>
  </si>
  <si>
    <t>5022 - Transporte fluvial de carga</t>
  </si>
  <si>
    <t xml:space="preserve">5111 - Transporte aéreo nacional de pasajeros </t>
  </si>
  <si>
    <t xml:space="preserve">5112 - Transporte aéreo internacional de pasajeros </t>
  </si>
  <si>
    <t xml:space="preserve">5121 - Transporte aéreo nacional de carga </t>
  </si>
  <si>
    <t xml:space="preserve">5122 - Transporte aéreo internacional de carga </t>
  </si>
  <si>
    <t>5210 - Almacenamiento y depósito</t>
  </si>
  <si>
    <t>5221 - Actividades de estaciones, vías y servicios complementarios para el transporte terrestre</t>
  </si>
  <si>
    <t>5222 - Actividades de puertos y servicios complementarios para el transporte acuático</t>
  </si>
  <si>
    <t>5223 - Actividades de aeropuertos, servicios de navegación aérea y demás actividades conexas al transporte aéreo</t>
  </si>
  <si>
    <t>5224 - Manipulación de carga</t>
  </si>
  <si>
    <t>5229 - Otras actividades complementarias al transporte</t>
  </si>
  <si>
    <t>5310 - Actividades postales nacionales</t>
  </si>
  <si>
    <t>5320 - Actividades de mensajería</t>
  </si>
  <si>
    <t xml:space="preserve">5511 - Alojamiento en hoteles </t>
  </si>
  <si>
    <t>5512 - Alojamiento en apartahoteles</t>
  </si>
  <si>
    <t xml:space="preserve">5513 - Alojamiento en centros vacacionales </t>
  </si>
  <si>
    <t>5514 - Alojamiento rural</t>
  </si>
  <si>
    <t>5519 - Otros tipos de alojamientos para visitantes</t>
  </si>
  <si>
    <t>5520 - Actividades de zonas de camping y parques para vehículos recreacionales</t>
  </si>
  <si>
    <t xml:space="preserve">5530 - Servicio por horas </t>
  </si>
  <si>
    <t>5590 - Otros tipos de alojamiento n.c.p.</t>
  </si>
  <si>
    <t>5611 - Expendio a la mesa de comidas preparadas</t>
  </si>
  <si>
    <t>5612 - Expendio por autoservicio de comidas preparadas</t>
  </si>
  <si>
    <t>5613 - Expendio de comidas preparadas en cafeterías</t>
  </si>
  <si>
    <t>5619 - Otros tipos de expendio de comidas preparadas n.c.p.</t>
  </si>
  <si>
    <t>5621 - Catering para eventos</t>
  </si>
  <si>
    <t>5629 - Actividades de otros servicios de comidas</t>
  </si>
  <si>
    <t>5630 - Expendio de bebidas alcohólicas para el consumo dentro del establecimiento</t>
  </si>
  <si>
    <t>5811 - Edición de libros</t>
  </si>
  <si>
    <t>5812 - Edición de directorios y listas de correo</t>
  </si>
  <si>
    <t>5813 - Edición de periódicos, revistas y otras publicaciones periódicas</t>
  </si>
  <si>
    <t>5819 - Otros trabajos de edición</t>
  </si>
  <si>
    <t>5820 - Edición de programas de informática (software)</t>
  </si>
  <si>
    <t>5911 - Actividades de producción de películas cinematográficas, videos, programas, anuncios y comerciales de televisión</t>
  </si>
  <si>
    <t>5912 - Actividades de posproducción de películas cinematográficas, videos, programas, anuncios y comerciales de televisión</t>
  </si>
  <si>
    <t>5913 - Actividades de distribución de películas cinematográficas, videos, programas, anuncios y comerciales de televisión</t>
  </si>
  <si>
    <t>5914 - Actividades de exhibición de películas cinematográficas y videos</t>
  </si>
  <si>
    <t>5920 - Actividades de grabación de sonido y edición de musica</t>
  </si>
  <si>
    <t>6010 - Actividades de programación y transmisión en el servicio de radiodifusión sonora</t>
  </si>
  <si>
    <t>6020 - Actividades de programación y transmisión de televisión</t>
  </si>
  <si>
    <t>6110 - Actividades de telecomunicaciones alámbricas</t>
  </si>
  <si>
    <t>6120 - Actividades de telecomunicaciones inalámbricas</t>
  </si>
  <si>
    <t>6130 - Actividades de telecomunicación satelital</t>
  </si>
  <si>
    <t>6190 - Otras actividades de telecomunicaciones</t>
  </si>
  <si>
    <t>6201 - Actividades de desarrollo de sistemas informáticos (planificación, análisis, diseño, programación, pruebas)</t>
  </si>
  <si>
    <t>6202 - Actividades de consultoría informática y actividades de administración de instalaciones informáticas</t>
  </si>
  <si>
    <t>6209 - Otras actividades de tecnologías de información y actividades de servicios informáticos</t>
  </si>
  <si>
    <t>6311 - Procesamiento de datos, alojamiento (hosting) y actividades relacionadas</t>
  </si>
  <si>
    <t>6312 - Portales web</t>
  </si>
  <si>
    <t>6391 - Actividades de agencias de noticias</t>
  </si>
  <si>
    <t>6399 - Otras actividades de servicio de información n.c.p.</t>
  </si>
  <si>
    <t>6411 - Banco Central</t>
  </si>
  <si>
    <t>6412 - Bancos comerciales</t>
  </si>
  <si>
    <t>6421 - Actividades de las corporaciones financieras</t>
  </si>
  <si>
    <t>6422 - Actividades de las compañías de financiamiento</t>
  </si>
  <si>
    <t>6423 - Banca de segundo piso</t>
  </si>
  <si>
    <t>6424 - Actividades de las cooperativas financieras</t>
  </si>
  <si>
    <t>6431 - Fideicomisos, fondos y entidades financieras similares</t>
  </si>
  <si>
    <t>6432 - Fondos de cesantías</t>
  </si>
  <si>
    <t>6491 - Leasing financiero (arrendamiento financiero)</t>
  </si>
  <si>
    <t>6492 - Actividades financieras de fondos de empleados y otras formas asociativas del sector solidario</t>
  </si>
  <si>
    <t>6493 - Actividades de compra de cartera o factoring</t>
  </si>
  <si>
    <t>6494 - Otras actividades de distribución de fondos</t>
  </si>
  <si>
    <t>6495 - Instituciones especiales oficiales</t>
  </si>
  <si>
    <t>6499 - Otras actividades de servicio financiero, excepto las de seguros y pensiones n.c.p.</t>
  </si>
  <si>
    <t xml:space="preserve">6511 - Seguros generales </t>
  </si>
  <si>
    <t>6512 - Seguros de vida</t>
  </si>
  <si>
    <t>6513 - Reaseguros</t>
  </si>
  <si>
    <t>6514 - Capitalización</t>
  </si>
  <si>
    <t>6521 - Servicios de seguros sociales de salud</t>
  </si>
  <si>
    <t>6522 - Servicios de seguros sociales de riesgos profesionales</t>
  </si>
  <si>
    <t>6531 - Régimen de prima media con prestación definida (RPM)</t>
  </si>
  <si>
    <t>6532 - Régimen de ahorro individual (RAI)</t>
  </si>
  <si>
    <t>6611 - Administración de mercados financieros</t>
  </si>
  <si>
    <t>6612 - Corretaje de valores y de contratos de productos básicos</t>
  </si>
  <si>
    <t>6613 - Otras actividades relacionadas con el mercado de valores</t>
  </si>
  <si>
    <t>6614 - Actividades de las casas de cambio</t>
  </si>
  <si>
    <t>6615 - Actividades de los profesionales de compra y venta de divisas</t>
  </si>
  <si>
    <t>6619 - Otras actividades auxiliares de las actividades de servicios financieros n.c.p.</t>
  </si>
  <si>
    <t>6621 - Actividades de agentes y corredores de seguros</t>
  </si>
  <si>
    <t>6629 - Evaluación de riesgos y daños, y otras actividades de servicios auxiliares</t>
  </si>
  <si>
    <t>6630 - Actividades de administración de fondos</t>
  </si>
  <si>
    <t>6810 - Actividades inmobiliarias realizadas con bienes propios o arrendados</t>
  </si>
  <si>
    <t xml:space="preserve">6820 - Actividades inmobiliarias realizadas a cambio de una retribución o por contrata </t>
  </si>
  <si>
    <t>6910 - Actividades jurídicas</t>
  </si>
  <si>
    <t>6920 - Actividades de contabilidad, teneduría de libros, auditoría financiera y asesoría tributaria</t>
  </si>
  <si>
    <t>7010 - Actividades de administración empresarial</t>
  </si>
  <si>
    <t>7020 - Actividades de consultaría de gestión</t>
  </si>
  <si>
    <t>7111 - Actividades de arquitectura</t>
  </si>
  <si>
    <t>7112-  Actividad de ingeniería y otras actividades conexas de consultoría técnica</t>
  </si>
  <si>
    <t>7120 - Ensayos y análisis técnicos</t>
  </si>
  <si>
    <t xml:space="preserve">7210 - Investigaciones y desarrollo experimental en el campo de las ciencias naturales y la ingeniería </t>
  </si>
  <si>
    <t>7220 - Investigaciones y desarrollo experimental en el campo de las ciencias sociales y las humanidades</t>
  </si>
  <si>
    <t>7310 - Publicidad</t>
  </si>
  <si>
    <t>7320 - Estudios de mercado y realización de encuestas de opinión pública</t>
  </si>
  <si>
    <t xml:space="preserve">7410 - Actividades especializadas de diseño </t>
  </si>
  <si>
    <t>7420 - Actividades de fotografía</t>
  </si>
  <si>
    <t>7490 - Otras actividades profesionales, científicas y técnicas n.c.p.</t>
  </si>
  <si>
    <t>7500 - Actividades veterinarias</t>
  </si>
  <si>
    <t>7710 - Alquiler y arrendamiento de vehículos automotores</t>
  </si>
  <si>
    <t>7721 - Alquiler y arrendamiento de equipo recreativo y deportivo</t>
  </si>
  <si>
    <t xml:space="preserve">7722 - Alquiler de videos y discos </t>
  </si>
  <si>
    <t>7729 - Alquiler y arrendamiento de otros efectos personales y enseres domésticos n.c.p.</t>
  </si>
  <si>
    <t>7730 - Alquiler y arrendamiento de otros tipos de maquinaria, equipo y bienes tangibles n.c.p.</t>
  </si>
  <si>
    <t>7740 - Arrendamiento de propiedad intelectual y productos similares, excepto obras protegidas por derechos de autor</t>
  </si>
  <si>
    <t>7810 - Actividades de agencias de empleo</t>
  </si>
  <si>
    <t>7820 - Actividades de agencias de empleo temporal</t>
  </si>
  <si>
    <t>7830 - Otras actividades de suministro de recurso humano</t>
  </si>
  <si>
    <t>7911 - Actividades de las agencias de viaje</t>
  </si>
  <si>
    <t>7912 - Actividades de operadores turísticos</t>
  </si>
  <si>
    <t>7990 - Otros servicios de reserva y actividades relacionadas</t>
  </si>
  <si>
    <t>8010 - Actividades de seguridad privada</t>
  </si>
  <si>
    <t>8020 - Actividades de servicios de sistemas de seguridad</t>
  </si>
  <si>
    <t>8030 - Actividades de detectives e investigadores privados</t>
  </si>
  <si>
    <t>8110 - Actividades combinadas de apoyo a instalaciones</t>
  </si>
  <si>
    <t>8121 - Limpieza general interior de edificios</t>
  </si>
  <si>
    <t>8129 - Otras actividades de limpieza de edificios e instalaciones industriales</t>
  </si>
  <si>
    <t>8130 - Actividades de paisajismo y servicios de mantenimiento conexos</t>
  </si>
  <si>
    <t>8211 - Actividades combinadas de servicios administrativos de oficina</t>
  </si>
  <si>
    <t>8219 - Fotocopiado, preparación de documentos y otras actividades especializadas de apoyo a oficina</t>
  </si>
  <si>
    <t>8220 - Actividades de centros de llamadas (Call center)</t>
  </si>
  <si>
    <t>8230 - Organización de convenciones y eventos comerciales</t>
  </si>
  <si>
    <t>8291 - Actividades de agencias de cobranza y oficinas de calificación crediticia</t>
  </si>
  <si>
    <t>8292 - Actividades de envase y empaque</t>
  </si>
  <si>
    <t>8299 - Otras actividades de servicio de apoyo a las empresas n.c.p.</t>
  </si>
  <si>
    <t>8411 - Actividades legislativas de la administración pública</t>
  </si>
  <si>
    <t>8412 - Actividades ejecutivas de la administración pública</t>
  </si>
  <si>
    <t xml:space="preserve">8413 - Regulación de las actividades de organismos que prestan servicios de salud, educativos, culturales y otros servicios sociales, excepto servicios de seguridad social </t>
  </si>
  <si>
    <t>8414 - Actividades reguladoras y facilitadoras de la actividad económica</t>
  </si>
  <si>
    <t>8415 - Actividades de los otros órganos de control</t>
  </si>
  <si>
    <t xml:space="preserve">8421 - Relaciones exteriores </t>
  </si>
  <si>
    <t>8422 - Actividades de defensa</t>
  </si>
  <si>
    <t>8423 - Orden público y actividades de seguridad</t>
  </si>
  <si>
    <t>8424 - Administración de justicia</t>
  </si>
  <si>
    <t>8430 - Actividades de planes de seguridad social de afiliación obligatoria</t>
  </si>
  <si>
    <t>8511 - Educación de la primera infancia</t>
  </si>
  <si>
    <t>8512 - Educación preescolar</t>
  </si>
  <si>
    <t>8513 - Educación básica primaria</t>
  </si>
  <si>
    <t xml:space="preserve">8521 - Educación básica secundaria </t>
  </si>
  <si>
    <t>8522 - Educación media académica</t>
  </si>
  <si>
    <t>8523 - Educación media técnica y de formación laboral</t>
  </si>
  <si>
    <t xml:space="preserve">8530 - Establecimientos que combinan diferentes niveles de educación </t>
  </si>
  <si>
    <t>8541 - Educación técnica profesional</t>
  </si>
  <si>
    <t>8542 - Educación tecnológica</t>
  </si>
  <si>
    <t>8543 - Educación de instituciones universitarias o de escuelas tecnológicas</t>
  </si>
  <si>
    <t>8544 - Educación de universidades</t>
  </si>
  <si>
    <t xml:space="preserve">8551 - Formación académica no formal </t>
  </si>
  <si>
    <t>8552 - Enseñanza deportiva y recreativa</t>
  </si>
  <si>
    <t>8553 - Enseñanza cultural</t>
  </si>
  <si>
    <t>8559 - Otros tipos de educación n.c.p.</t>
  </si>
  <si>
    <t>8560 - Actividades de apoyo a la educación</t>
  </si>
  <si>
    <t>8610 - Actividades de hospitales y clínicas, con internación</t>
  </si>
  <si>
    <t>8621 - Actividades de la práctica médica, sin internación</t>
  </si>
  <si>
    <t>8622 - Actividades de la práctica odontológica</t>
  </si>
  <si>
    <t>8691 - Actividades de apoyo diagnóstico</t>
  </si>
  <si>
    <t>8692 - Actividades de apoyo terapéutico</t>
  </si>
  <si>
    <t>8699 - Otras actividades de atención de la salud humana</t>
  </si>
  <si>
    <t>8710 - Actividades de atención residencial medicalizada de tipo general</t>
  </si>
  <si>
    <t>8720 - Actividades de atención residencial, para el cuidado de pacientes con retardo mental, enfermedad mental y consumo de sustancias psicoactivas</t>
  </si>
  <si>
    <t>8730 - Actividades de atención en instituciones para el cuidado de personas mayores y/o discapacitadas</t>
  </si>
  <si>
    <t>8790 - Otras actividades de atención en instituciones con alojamiento</t>
  </si>
  <si>
    <t>8810 - Actividades de asistencia social sin alojamiento para personas mayores y discapacitadas</t>
  </si>
  <si>
    <t>8890 - Otras actividades de asistencia social sin alojamiento</t>
  </si>
  <si>
    <t>9001 - Creación literaria</t>
  </si>
  <si>
    <t>9002 - Creación musical</t>
  </si>
  <si>
    <t>9003 - Creación teatral</t>
  </si>
  <si>
    <t>9004 - Creación audiovisual</t>
  </si>
  <si>
    <t>9005 - Artes plásticas y visuales</t>
  </si>
  <si>
    <t>9006 - Actividades teatrales</t>
  </si>
  <si>
    <t>9007 - Actividades de espectáculos musicales en vivo</t>
  </si>
  <si>
    <t>9008 - Otras actividades de espectáculos en vivo</t>
  </si>
  <si>
    <t>9101 - Actividades de bibliotecas y archivos</t>
  </si>
  <si>
    <t>9102 - Actividades y funcionamiento de museos, conservación de edificios y sitios históricos</t>
  </si>
  <si>
    <t>9103 - Actividades de jardines botánicos, zoológicos y reservas naturales</t>
  </si>
  <si>
    <t>9200 - Actividades de juegos de azar y apuestas</t>
  </si>
  <si>
    <t>9311 - Gestión de instalaciones deportivas</t>
  </si>
  <si>
    <t>9312 - Actividades de clubes deportivos</t>
  </si>
  <si>
    <t>9319 - Otras actividades deportivas</t>
  </si>
  <si>
    <t>9321 - Actividades de parques de atracciones y parques temáticos</t>
  </si>
  <si>
    <t>9329 - Otras actividades recreativas y de esparcimiento n.c.p.</t>
  </si>
  <si>
    <t>9411 - Actividades de asociaciones empresariales y de empleadores</t>
  </si>
  <si>
    <t>9412 - Actividades de asociaciones profesionales</t>
  </si>
  <si>
    <t>9420 - Actividades de sindicatos de empleados</t>
  </si>
  <si>
    <t>9491 - Actividades de asociaciones religiosas</t>
  </si>
  <si>
    <t>9492 - Actividades de asociaciones políticas</t>
  </si>
  <si>
    <t>9499 - Actividades de otras asociaciones n.c.p.</t>
  </si>
  <si>
    <t>9511 - Mantenimiento y reparación de computadores y de equipo periférico</t>
  </si>
  <si>
    <t>9512 - Mantenimiento y reparación de equipos de comunicación</t>
  </si>
  <si>
    <t>9521 - Mantenimiento y reparación de aparatos electrónicos de consumo</t>
  </si>
  <si>
    <t xml:space="preserve">9522 - Mantenimiento y reparación de aparatos y equipos domésticos y de jardinería </t>
  </si>
  <si>
    <t>9523 - Reparación de calzado y artículos de cuero</t>
  </si>
  <si>
    <t>9524 - Reparación de muebles y accesorios para el hogar</t>
  </si>
  <si>
    <t>9529 - Mantenimiento y reparación de otros efectos personales y enseres domésticos</t>
  </si>
  <si>
    <t>9601 - Lavado y limpieza, incluso la limpieza en seco, de productos textiles y de piel</t>
  </si>
  <si>
    <t>9602 - Peluquería y otros tratamientos de belleza</t>
  </si>
  <si>
    <t>9603 - Pompas fúnebres y actividades relacionadas</t>
  </si>
  <si>
    <t>9609 - Otras actividades de servicios personales n.c.p.</t>
  </si>
  <si>
    <t>Bienes_Biomasa_Biogás</t>
  </si>
  <si>
    <t>Bienes_Biomasa_Gasificación</t>
  </si>
  <si>
    <t>Bienes_Biomasa_Pirolización</t>
  </si>
  <si>
    <t>Bienes_Biomasa_Cultivos_energéticos</t>
  </si>
  <si>
    <t>Bienes_Biomasa_Generación_cogeneración</t>
  </si>
  <si>
    <t>Bienes_Eólica_Eólica</t>
  </si>
  <si>
    <t>Bienes_Geotérmica_Central_de_vapor_seco</t>
  </si>
  <si>
    <t>Bienes_Geotérmica_Central_flash</t>
  </si>
  <si>
    <t>Bienes_Geotérmica_Central_de_ciclo_binario</t>
  </si>
  <si>
    <t>Bienes_PCH_Hidráulica</t>
  </si>
  <si>
    <t>Bienes_PCH_Hidrocinética</t>
  </si>
  <si>
    <t>Bienes_Solar_Fotovoltaica</t>
  </si>
  <si>
    <t>Biodigestores</t>
  </si>
  <si>
    <t>Gasificadores</t>
  </si>
  <si>
    <t>Bunkers (almacenamiento de residuos)</t>
  </si>
  <si>
    <t>Equipos y componentes para la producción de cultivos energéticos (torre de madereo, skidder, harvester, brazo cargador, carreto cosechador, winche o cabrestante, astillador de madera, tractores, grúas y grapas).</t>
  </si>
  <si>
    <t>Motores de CI diseñados para operar con biogás o biocombustibles</t>
  </si>
  <si>
    <t>Equipos LIDAR</t>
  </si>
  <si>
    <t>Bombas centrífugas, electrosumergibles, de calor geotérmicas</t>
  </si>
  <si>
    <t>Tuberías</t>
  </si>
  <si>
    <t>Equipos de medición del recurso solar</t>
  </si>
  <si>
    <t xml:space="preserve">Digestores y post-digestores </t>
  </si>
  <si>
    <t>Sistemas de purificación del gas</t>
  </si>
  <si>
    <t>Trituradoras</t>
  </si>
  <si>
    <t>Equipos para el sistema de riego y drenaje empleados en el establecimiento de cultivos con propósitos energéticos (tuberías de PVC, CPVC, válvulas, tanques, bombas)</t>
  </si>
  <si>
    <t>Calderas para operar con biomasa, biogás o sus derivados, asi como equipos para adaptación de calderas para uso con biomasa, biogás o sus derivados</t>
  </si>
  <si>
    <t>Equipos SODAR</t>
  </si>
  <si>
    <t>Válvulas</t>
  </si>
  <si>
    <t>Chimeneas de equilibrio, aliviaderos</t>
  </si>
  <si>
    <t>Tanques de almacenamiento.</t>
  </si>
  <si>
    <t>Turbinas de gas y de vapor</t>
  </si>
  <si>
    <t>Hornos rotatorios para pirólisis</t>
  </si>
  <si>
    <t>Equipos para mecanización del terreno y extracción de madera (Subsoladores, rastra, caballoneador, taipa, cortamalezas, sembradora)</t>
  </si>
  <si>
    <t>Turbinas de condensación para operar con biogás</t>
  </si>
  <si>
    <t>Torres de medición</t>
  </si>
  <si>
    <t>Silenciadores</t>
  </si>
  <si>
    <t>Válvulas y compuertas</t>
  </si>
  <si>
    <t>Equipos de medición de producción de biogás y concentración de metano</t>
  </si>
  <si>
    <t>Generadores de vapor</t>
  </si>
  <si>
    <t>Cámaras de combustión</t>
  </si>
  <si>
    <t>Máquinas peletizadoras</t>
  </si>
  <si>
    <t>Turbinas de contra-presión para operar con biogás</t>
  </si>
  <si>
    <t>Anemómetros</t>
  </si>
  <si>
    <t>Desarenadoras</t>
  </si>
  <si>
    <t>Turbinas</t>
  </si>
  <si>
    <t>Estaciones meteorológicas</t>
  </si>
  <si>
    <t>Equipos para desulfuración de biogás (y remoción de impurezas)</t>
  </si>
  <si>
    <t>Separador magnético</t>
  </si>
  <si>
    <t>Equipos para la preparación y transformación de biomasa (equipos de torrefacción, secadores de biomasa, maquinas briqueteadoras)</t>
  </si>
  <si>
    <t>Incineradores de residuos y sus componentes para la recuperación de calor para la tecnología “waste to energy”</t>
  </si>
  <si>
    <t>Veletas</t>
  </si>
  <si>
    <t>Tuberías de vapor, salmuera</t>
  </si>
  <si>
    <t>Turbogeneradores</t>
  </si>
  <si>
    <t>Equipos para remoción de CO2 de biogás (equipos para producción de biometano)</t>
  </si>
  <si>
    <t>Equipos para el transporte de biomasa (transportadores de tornillo sinfín, elevadores de cangilones, transportadores de cadena Redler, sinfines, transportadores de banda)</t>
  </si>
  <si>
    <t>Bio-refinerías para transformación de residuos sólidos urbanos en biocombustibles líquidos</t>
  </si>
  <si>
    <t>Data Logger</t>
  </si>
  <si>
    <t>Separadores de vapor o de humedad</t>
  </si>
  <si>
    <t>Dispositivos de regulación y tubos difusores</t>
  </si>
  <si>
    <t>Paneles/módulos o celdas fotovoltaicas</t>
  </si>
  <si>
    <t>Ventiladores / sopladores para flujo de biogás</t>
  </si>
  <si>
    <t>Calderas</t>
  </si>
  <si>
    <t>Generadores</t>
  </si>
  <si>
    <t>Tanques de almacenamiento</t>
  </si>
  <si>
    <t>Bombas y motores</t>
  </si>
  <si>
    <t>Inversores o microinversores (Off Grid, Grid Tie o Híbrido)</t>
  </si>
  <si>
    <t>Filtros de manga</t>
  </si>
  <si>
    <t>Recuperadores de calor</t>
  </si>
  <si>
    <t>Equipos de alimentación DC/AC</t>
  </si>
  <si>
    <t>Intercambiadores de calor, evaporadores o condensadores</t>
  </si>
  <si>
    <t>Elementos hidromecánicos</t>
  </si>
  <si>
    <t>Reguladores o controladores de carga</t>
  </si>
  <si>
    <t>Trampas: de ácido sulfhídrico, de llama, de agua</t>
  </si>
  <si>
    <t>Catalizadores</t>
  </si>
  <si>
    <t>Sistemas de pretratamiento de agua</t>
  </si>
  <si>
    <t>Baterías solares (de ciclo de descarga profunda): Puede ser de plomo-acido, ions de litio, niquel cadmio, u otro.</t>
  </si>
  <si>
    <t>Ventiladores</t>
  </si>
  <si>
    <t>Bóvedas, puertas cortafuego, compuertas de ventilación y sellos cortafuego</t>
  </si>
  <si>
    <t>Sistemas de tratamiento de gases de chimenea de las calderas</t>
  </si>
  <si>
    <t>Aerogeneradores (como un todo)</t>
  </si>
  <si>
    <t>Transformadores de excitación y rectificadores</t>
  </si>
  <si>
    <t>Optimizadores</t>
  </si>
  <si>
    <t>Hornos</t>
  </si>
  <si>
    <t>Celdas AC/DC</t>
  </si>
  <si>
    <t>Sistemas recuperadores de condensados</t>
  </si>
  <si>
    <t>Torres de aerogeneradores</t>
  </si>
  <si>
    <t>Instrumentos de medida de presión (manómetro), temperatura y flujo másico de fluidos y vapor</t>
  </si>
  <si>
    <t>Equipos de regulación de tensión, equipo de regulación de velocidad, control, protección y medida</t>
  </si>
  <si>
    <t>Bases / marcos / estructuras diseñadas para montar, anclar e instalar paneles</t>
  </si>
  <si>
    <t>Teas de emergencia</t>
  </si>
  <si>
    <t>Contadores</t>
  </si>
  <si>
    <t>Sistemas cerrados de refrigeración de auxiliares y turbina</t>
  </si>
  <si>
    <t>Luces de obstrucción y desviadores</t>
  </si>
  <si>
    <t>Eyectores de vapor (NCG &amp; H2S)</t>
  </si>
  <si>
    <t>Equipos de medición</t>
  </si>
  <si>
    <t>Cajas combinadoras</t>
  </si>
  <si>
    <t>Bombas para flujo de sustratos en plantas de biogás</t>
  </si>
  <si>
    <t>Torres de enfriamiento con agua o aerocondensadores</t>
  </si>
  <si>
    <t>Compresores</t>
  </si>
  <si>
    <t>Sistemas de tracking</t>
  </si>
  <si>
    <t>Tuberías en plantas de biogás, incluyendo tuberías de polietileno de alta densidad</t>
  </si>
  <si>
    <t>Sistemas de calentamiento de agua / recuperación de calor residual</t>
  </si>
  <si>
    <t>Sistemas de condensado: condensadores, torres de enfriamiento (tipo húmedo, tipo seco)</t>
  </si>
  <si>
    <t>Dispositivos de control y automatización de procesos anaerobios</t>
  </si>
  <si>
    <t>Válvulas, reguladores y sistemas de control</t>
  </si>
  <si>
    <t>Depuradores</t>
  </si>
  <si>
    <t>Cables solares DC</t>
  </si>
  <si>
    <t xml:space="preserve">Sistema de retorno de condensado, precalentamiento y desgasificador  </t>
  </si>
  <si>
    <t>Elementos estructurales de pozos (de producción y de re-inyección)</t>
  </si>
  <si>
    <t>Equipos de compensación de potencia reactiva</t>
  </si>
  <si>
    <t>Barrajes</t>
  </si>
  <si>
    <t xml:space="preserve">Plantas de tratamiento de agua </t>
  </si>
  <si>
    <t>Removedores y filtros</t>
  </si>
  <si>
    <t>Equipos para la reducción de armónicos</t>
  </si>
  <si>
    <t>Cajas y conduletas</t>
  </si>
  <si>
    <t>Sistemas anti explosión durante perforación</t>
  </si>
  <si>
    <t>Fusibles y portafusibles</t>
  </si>
  <si>
    <t>Equipos para laboratorio</t>
  </si>
  <si>
    <t>Cámara de flash</t>
  </si>
  <si>
    <t>Racks de refrigeración y tuberías</t>
  </si>
  <si>
    <t>Sistemas de recolección y transporte de vapor a la planta</t>
  </si>
  <si>
    <t>Interruptores de baja tensión</t>
  </si>
  <si>
    <t>Sistemas de drenajes y canalizaciones subterráneas</t>
  </si>
  <si>
    <t>Sistemas de recolección y transporte de fluidos (salmuera y condensado) a los pozos de reinyección</t>
  </si>
  <si>
    <t>Estructuras</t>
  </si>
  <si>
    <t>Unidades de potencia ininterrumpida (UPS)</t>
  </si>
  <si>
    <t>Equipos para prospección geofísica y geoquímica</t>
  </si>
  <si>
    <t>Equipos de perforación</t>
  </si>
  <si>
    <t>Equipos de monitoreo, control y automatización (no incluye equipos para conexión a internet)</t>
  </si>
  <si>
    <t>Equipos para monitoreo de temperatura</t>
  </si>
  <si>
    <t>Subestación o Power Station (transformadores, interruptores, seccionadores, trampas de onda, reconectadores, cuchillas, descargadores de sobretensión)</t>
  </si>
  <si>
    <t>Equipos de laboratorio para análisis geoquímicos y geológicos</t>
  </si>
  <si>
    <t>BESS (Sistema de almacenamiento con base en baterías)</t>
  </si>
  <si>
    <t>Instalaciones superficiales para prueba de pozos</t>
  </si>
  <si>
    <t>Sistemas de acopio de biomasa</t>
  </si>
  <si>
    <t>Grupo Electrógeno de Biogás</t>
  </si>
  <si>
    <t>Servicios_Biomasa</t>
  </si>
  <si>
    <t>Servicios_Eólica</t>
  </si>
  <si>
    <t>Servicios_Geotérmica</t>
  </si>
  <si>
    <t>Servicios_PCH</t>
  </si>
  <si>
    <t>Servicios_Solar</t>
  </si>
  <si>
    <t>Estudios de valoración de potencial para uso energético de la biomasa</t>
  </si>
  <si>
    <t>Estudios de valoración de potencial del recurso eólico.</t>
  </si>
  <si>
    <t>Alquiler equipos y plataformas de perforación para exploración geotérmica y pruebas de producción de pozos geotérmicos</t>
  </si>
  <si>
    <t>Estudios de valoración de potencial hidráulico</t>
  </si>
  <si>
    <t>Estudios de valoración de potencial del recurso solar</t>
  </si>
  <si>
    <t>Estudios ambientales</t>
  </si>
  <si>
    <t>Toma de fotografías aéreas; imágenes de satélite; etc para elaboración de cartografía</t>
  </si>
  <si>
    <t>Estudios de conexión.</t>
  </si>
  <si>
    <t>Estudios de conexión</t>
  </si>
  <si>
    <t>Estudios de valoración de potencial del recurso geotérmico</t>
  </si>
  <si>
    <t>Asesoría y consultoría técnica</t>
  </si>
  <si>
    <t>Estudios estructurales</t>
  </si>
  <si>
    <t>Diseño e Ingeniería del sistema</t>
  </si>
  <si>
    <t>Estudios de gradiente térmico</t>
  </si>
  <si>
    <t>Transporte asociado al traslado de componentes al sitio de instalación</t>
  </si>
  <si>
    <t>Diseño e ingeniería del sistema</t>
  </si>
  <si>
    <t xml:space="preserve">Instalación, montaje y puesta en operación del sistema. </t>
  </si>
  <si>
    <t>Geología / exploración. Recolección de muestras de roca y ensayos de laboratorio</t>
  </si>
  <si>
    <t>Construcción de obras civiles y estructurales para el montaje del sistema.</t>
  </si>
  <si>
    <t>Geoquímica / exploración. Recolección de muestras de líquidos y gases y ensayos de laboratorio para análisis de composición química; análisis de isótopos.</t>
  </si>
  <si>
    <t xml:space="preserve">Preparación / adaptación del terreno para instalación del sistema </t>
  </si>
  <si>
    <t>Obras civiles y estructurales para efectos de medición del recurso eólico</t>
  </si>
  <si>
    <t>Geofísica / exploración. Muestreo; procesamiento y análisis de gravimetría; magnetometría; magnetotelúrica y microsismos)</t>
  </si>
  <si>
    <t>Construcción de digestores; post-digestores y tanques de almacenamiento para proyectos de uso energético de la biomasa</t>
  </si>
  <si>
    <t>Construcción de lagunas para proyectos de uso energético de la biomasa</t>
  </si>
  <si>
    <t>Diseño e Ingeniería del sistema (Incluyendo software especializado)</t>
  </si>
  <si>
    <t>Certificación RETIE</t>
  </si>
  <si>
    <t>Construcción de instalaciones de recibo y acopio de biomasa para ser usada con fines energéticos</t>
  </si>
  <si>
    <t>P00414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</si>
</sst>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 &quot;* #,##0.00_-;&quot;-$ &quot;* #,##0.00_-;_-&quot;$ &quot;* \-??_-;_-@"/>
    <numFmt numFmtId="165" formatCode="&quot;$ &quot;#,##0.00"/>
  </numFmts>
  <fonts count="13" x14ac:knownFonts="1">
    <font>
      <sz val="11"/>
      <color theme="1"/>
      <name val="Calibri"/>
      <charset val="1"/>
    </font>
    <font>
      <sz val="10"/>
      <name val="Arial"/>
      <family val="2"/>
    </font>
    <font>
      <b/>
      <sz val="11"/>
      <color theme="1"/>
      <name val="Verdana"/>
      <family val="2"/>
      <charset val="1"/>
    </font>
    <font>
      <sz val="11"/>
      <color theme="1"/>
      <name val="Verdana"/>
      <family val="2"/>
      <charset val="1"/>
    </font>
    <font>
      <sz val="11"/>
      <color rgb="FF000000"/>
      <name val="Verdana"/>
      <family val="2"/>
      <charset val="1"/>
    </font>
    <font>
      <sz val="11"/>
      <color theme="1"/>
      <name val="Calibri"/>
      <family val="2"/>
      <charset val="1"/>
    </font>
    <font>
      <u/>
      <sz val="11"/>
      <color rgb="FF0000FF"/>
      <name val="Verdana"/>
      <family val="2"/>
      <charset val="1"/>
    </font>
    <font>
      <u/>
      <sz val="11"/>
      <color theme="1"/>
      <name val="Verdana"/>
      <family val="2"/>
      <charset val="1"/>
    </font>
    <font>
      <b/>
      <sz val="11"/>
      <color theme="1"/>
      <name val="Calibri"/>
      <family val="2"/>
      <charset val="1"/>
    </font>
    <font>
      <u/>
      <sz val="11"/>
      <color rgb="FF0000FF"/>
      <name val="Calibri"/>
      <family val="2"/>
      <charset val="1"/>
    </font>
    <font>
      <sz val="11"/>
      <color rgb="FF000000"/>
      <name val="Calibri"/>
      <family val="2"/>
      <charset val="1"/>
    </font>
    <font>
      <sz val="9"/>
      <color theme="1"/>
      <name val="Calibri"/>
      <family val="2"/>
      <charset val="1"/>
    </font>
    <font>
      <sz val="10"/>
      <color theme="1"/>
      <name val="Arial"/>
      <family val="2"/>
      <charset val="1"/>
    </font>
  </fonts>
  <fills count="7">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rgb="FF548DD4"/>
        <bgColor rgb="FF3366FF"/>
      </patternFill>
    </fill>
    <fill>
      <patternFill patternType="solid">
        <fgColor rgb="FFC4BD97"/>
        <bgColor rgb="FFFFCC99"/>
      </patternFill>
    </fill>
    <fill>
      <patternFill patternType="solid">
        <fgColor rgb="FFDBE5F1"/>
        <bgColor rgb="FFCCFFFF"/>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68">
    <xf numFmtId="0" fontId="0" fillId="0" borderId="0" xfId="0"/>
    <xf numFmtId="0" fontId="0" fillId="0" borderId="0" xfId="0" applyAlignment="1" applyProtection="1"/>
    <xf numFmtId="0" fontId="2" fillId="2" borderId="1" xfId="0" applyFont="1" applyFill="1" applyBorder="1" applyAlignment="1" applyProtection="1">
      <alignment horizontal="center" vertical="center" wrapText="1"/>
    </xf>
    <xf numFmtId="0" fontId="2"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wrapText="1"/>
    </xf>
    <xf numFmtId="164" fontId="2" fillId="2" borderId="1" xfId="0" applyNumberFormat="1" applyFont="1" applyFill="1" applyBorder="1" applyAlignment="1" applyProtection="1">
      <alignment horizontal="center" vertical="center" wrapText="1"/>
    </xf>
    <xf numFmtId="0" fontId="2" fillId="0" borderId="2" xfId="0" applyFont="1" applyBorder="1" applyAlignment="1" applyProtection="1">
      <alignment horizontal="center" vertical="center" wrapText="1"/>
    </xf>
    <xf numFmtId="0" fontId="4" fillId="0" borderId="0" xfId="0" applyFont="1" applyAlignment="1" applyProtection="1"/>
    <xf numFmtId="0" fontId="3" fillId="0" borderId="0" xfId="0" applyFont="1" applyAlignment="1" applyProtection="1"/>
    <xf numFmtId="0" fontId="3" fillId="2" borderId="2" xfId="0" applyFont="1" applyFill="1" applyBorder="1" applyAlignment="1" applyProtection="1">
      <alignment horizontal="center" vertical="center" wrapText="1"/>
    </xf>
    <xf numFmtId="0" fontId="3" fillId="0" borderId="2" xfId="0" applyFont="1" applyBorder="1" applyAlignment="1" applyProtection="1">
      <alignment horizontal="left" vertical="center" wrapText="1"/>
    </xf>
    <xf numFmtId="0" fontId="5" fillId="0" borderId="2" xfId="0" applyFont="1" applyBorder="1" applyAlignment="1" applyProtection="1">
      <alignment horizontal="center" vertical="center" wrapText="1"/>
    </xf>
    <xf numFmtId="0" fontId="5" fillId="2" borderId="2" xfId="0" applyFont="1" applyFill="1" applyBorder="1" applyAlignment="1" applyProtection="1">
      <alignment horizontal="center" vertical="center" wrapText="1"/>
    </xf>
    <xf numFmtId="165" fontId="5" fillId="2" borderId="2" xfId="0" applyNumberFormat="1" applyFont="1" applyFill="1" applyBorder="1" applyAlignment="1" applyProtection="1">
      <alignment horizontal="center" vertical="center" wrapText="1"/>
    </xf>
    <xf numFmtId="164" fontId="5" fillId="2" borderId="2" xfId="0" applyNumberFormat="1" applyFont="1" applyFill="1" applyBorder="1" applyAlignment="1" applyProtection="1">
      <alignment horizontal="center" vertical="center" wrapText="1"/>
    </xf>
    <xf numFmtId="0" fontId="6" fillId="0" borderId="2" xfId="0" applyFont="1" applyBorder="1" applyAlignment="1" applyProtection="1">
      <alignment horizontal="center" vertical="center" wrapText="1"/>
    </xf>
    <xf numFmtId="0" fontId="7" fillId="0" borderId="2" xfId="0" applyFont="1" applyBorder="1" applyAlignment="1" applyProtection="1">
      <alignment vertical="center" wrapText="1"/>
    </xf>
    <xf numFmtId="0" fontId="3" fillId="2" borderId="1" xfId="0" applyFont="1" applyFill="1" applyBorder="1" applyAlignment="1" applyProtection="1">
      <alignment horizontal="center" vertical="center" wrapText="1"/>
    </xf>
    <xf numFmtId="0" fontId="3" fillId="0" borderId="1" xfId="0" applyFont="1" applyBorder="1" applyAlignment="1" applyProtection="1">
      <alignment vertical="center" wrapText="1"/>
    </xf>
    <xf numFmtId="0" fontId="5" fillId="2" borderId="1" xfId="0" applyFont="1" applyFill="1" applyBorder="1" applyAlignment="1" applyProtection="1">
      <alignment horizontal="center" vertical="center" wrapText="1"/>
    </xf>
    <xf numFmtId="0" fontId="5" fillId="0" borderId="1" xfId="0" applyFont="1" applyBorder="1" applyAlignment="1" applyProtection="1">
      <alignment horizontal="center" vertical="center" wrapText="1"/>
    </xf>
    <xf numFmtId="165" fontId="5" fillId="2" borderId="1" xfId="0" applyNumberFormat="1" applyFont="1" applyFill="1" applyBorder="1" applyAlignment="1" applyProtection="1">
      <alignment horizontal="center" vertical="center" wrapText="1"/>
    </xf>
    <xf numFmtId="164" fontId="5" fillId="2" borderId="1" xfId="0" applyNumberFormat="1" applyFont="1" applyFill="1" applyBorder="1" applyAlignment="1" applyProtection="1">
      <alignment horizontal="center" vertical="center" wrapText="1"/>
    </xf>
    <xf numFmtId="0" fontId="3" fillId="0" borderId="2" xfId="0" applyFont="1" applyBorder="1" applyAlignment="1" applyProtection="1"/>
    <xf numFmtId="0" fontId="5" fillId="0" borderId="2" xfId="0" applyFont="1" applyBorder="1" applyAlignment="1" applyProtection="1">
      <alignment horizontal="left" vertical="center" wrapText="1"/>
    </xf>
    <xf numFmtId="0" fontId="5" fillId="0" borderId="2" xfId="0" applyFont="1" applyBorder="1" applyAlignment="1" applyProtection="1">
      <alignment vertical="center" wrapText="1"/>
    </xf>
    <xf numFmtId="0" fontId="6" fillId="0" borderId="2" xfId="0" applyFont="1" applyBorder="1" applyAlignment="1" applyProtection="1">
      <alignment wrapText="1"/>
    </xf>
    <xf numFmtId="165" fontId="5" fillId="2" borderId="2" xfId="0" applyNumberFormat="1" applyFont="1" applyFill="1" applyBorder="1" applyAlignment="1" applyProtection="1">
      <alignment vertical="center" wrapText="1"/>
    </xf>
    <xf numFmtId="0" fontId="5" fillId="0" borderId="3" xfId="0" applyFont="1" applyBorder="1" applyAlignment="1" applyProtection="1">
      <alignment horizontal="center" vertical="center" wrapText="1"/>
    </xf>
    <xf numFmtId="0" fontId="5" fillId="3" borderId="2" xfId="0" applyFont="1" applyFill="1" applyBorder="1" applyAlignment="1" applyProtection="1">
      <alignment horizontal="center" vertical="center" wrapText="1"/>
    </xf>
    <xf numFmtId="164" fontId="5" fillId="2" borderId="2" xfId="0" applyNumberFormat="1" applyFont="1" applyFill="1" applyBorder="1" applyAlignment="1" applyProtection="1">
      <alignment horizontal="left" vertical="center" wrapText="1"/>
    </xf>
    <xf numFmtId="0" fontId="0" fillId="0" borderId="0" xfId="0" applyFont="1" applyAlignment="1">
      <alignment wrapText="1"/>
    </xf>
    <xf numFmtId="0" fontId="3" fillId="0" borderId="2" xfId="0" applyFont="1" applyBorder="1" applyAlignment="1" applyProtection="1">
      <alignment vertical="center" wrapText="1"/>
    </xf>
    <xf numFmtId="0" fontId="3" fillId="0" borderId="2" xfId="0" applyFont="1" applyBorder="1" applyAlignment="1" applyProtection="1">
      <alignment horizontal="center" vertical="center" wrapText="1"/>
    </xf>
    <xf numFmtId="0" fontId="3" fillId="3" borderId="2" xfId="0" applyFont="1" applyFill="1" applyBorder="1" applyAlignment="1" applyProtection="1">
      <alignment horizontal="center" vertical="center" wrapText="1"/>
    </xf>
    <xf numFmtId="0" fontId="5" fillId="2" borderId="2" xfId="0" applyFont="1" applyFill="1" applyBorder="1" applyAlignment="1" applyProtection="1">
      <alignment vertical="center" wrapText="1"/>
    </xf>
    <xf numFmtId="0" fontId="7" fillId="0" borderId="2" xfId="0" applyFont="1" applyBorder="1" applyAlignment="1" applyProtection="1"/>
    <xf numFmtId="0" fontId="8" fillId="0" borderId="2" xfId="0" applyFont="1" applyBorder="1" applyAlignment="1" applyProtection="1">
      <alignment horizontal="center" vertical="center" wrapText="1"/>
    </xf>
    <xf numFmtId="0" fontId="5" fillId="0" borderId="0" xfId="0" applyFont="1" applyAlignment="1" applyProtection="1"/>
    <xf numFmtId="0" fontId="9" fillId="0" borderId="2" xfId="0" applyFont="1" applyBorder="1" applyAlignment="1" applyProtection="1">
      <alignment wrapText="1"/>
    </xf>
    <xf numFmtId="0" fontId="5" fillId="0" borderId="2" xfId="0" applyFont="1" applyBorder="1" applyAlignment="1" applyProtection="1"/>
    <xf numFmtId="0" fontId="10" fillId="0" borderId="0" xfId="0" applyFont="1" applyAlignment="1" applyProtection="1"/>
    <xf numFmtId="3" fontId="5" fillId="2" borderId="2" xfId="0" applyNumberFormat="1" applyFont="1" applyFill="1" applyBorder="1" applyAlignment="1" applyProtection="1">
      <alignment vertical="center" wrapText="1"/>
    </xf>
    <xf numFmtId="0" fontId="4" fillId="0" borderId="0" xfId="0" applyFont="1" applyAlignment="1" applyProtection="1">
      <alignment wrapText="1"/>
    </xf>
    <xf numFmtId="0" fontId="10" fillId="0" borderId="2" xfId="0" applyFont="1" applyBorder="1" applyAlignment="1" applyProtection="1">
      <alignment horizontal="center" vertical="center" wrapText="1"/>
    </xf>
    <xf numFmtId="165" fontId="5" fillId="2" borderId="2" xfId="0" applyNumberFormat="1" applyFont="1" applyFill="1" applyBorder="1" applyAlignment="1" applyProtection="1">
      <alignment horizontal="center" vertical="center"/>
    </xf>
    <xf numFmtId="164" fontId="5" fillId="2" borderId="2" xfId="0" applyNumberFormat="1" applyFont="1" applyFill="1" applyBorder="1" applyAlignment="1" applyProtection="1">
      <alignment horizontal="center" vertical="center"/>
    </xf>
    <xf numFmtId="0" fontId="3" fillId="3" borderId="0" xfId="0" applyFont="1" applyFill="1" applyAlignment="1" applyProtection="1"/>
    <xf numFmtId="0" fontId="3" fillId="2" borderId="0" xfId="0" applyFont="1" applyFill="1" applyAlignment="1" applyProtection="1"/>
    <xf numFmtId="164" fontId="3" fillId="2" borderId="0" xfId="0" applyNumberFormat="1" applyFont="1" applyFill="1" applyAlignment="1" applyProtection="1"/>
    <xf numFmtId="0" fontId="5" fillId="3" borderId="0" xfId="0" applyFont="1" applyFill="1" applyAlignment="1" applyProtection="1"/>
    <xf numFmtId="0" fontId="5" fillId="2" borderId="0" xfId="0" applyFont="1" applyFill="1" applyAlignment="1" applyProtection="1"/>
    <xf numFmtId="164" fontId="5" fillId="2" borderId="0" xfId="0" applyNumberFormat="1" applyFont="1" applyFill="1" applyAlignment="1" applyProtection="1"/>
    <xf numFmtId="0" fontId="5" fillId="4" borderId="2" xfId="0" applyFont="1" applyFill="1" applyBorder="1" applyAlignment="1" applyProtection="1">
      <alignment horizontal="center"/>
    </xf>
    <xf numFmtId="0" fontId="5" fillId="0" borderId="2" xfId="0" applyFont="1" applyBorder="1" applyAlignment="1" applyProtection="1">
      <alignment horizontal="center"/>
    </xf>
    <xf numFmtId="0" fontId="5" fillId="3" borderId="2" xfId="0" applyFont="1" applyFill="1" applyBorder="1" applyAlignment="1" applyProtection="1">
      <alignment horizontal="center"/>
    </xf>
    <xf numFmtId="0" fontId="5" fillId="0" borderId="0" xfId="0" applyFont="1" applyAlignment="1" applyProtection="1">
      <alignment horizontal="center"/>
    </xf>
    <xf numFmtId="0" fontId="5" fillId="0" borderId="2" xfId="0" applyFont="1" applyBorder="1" applyAlignment="1" applyProtection="1">
      <alignment horizontal="left"/>
    </xf>
    <xf numFmtId="0" fontId="5" fillId="0" borderId="2" xfId="0" applyFont="1" applyBorder="1" applyAlignment="1" applyProtection="1">
      <alignment wrapText="1"/>
    </xf>
    <xf numFmtId="0" fontId="5" fillId="0" borderId="2" xfId="0" applyFont="1" applyBorder="1" applyAlignment="1" applyProtection="1">
      <alignment horizontal="center" wrapText="1"/>
    </xf>
    <xf numFmtId="0" fontId="5" fillId="5" borderId="0" xfId="0" applyFont="1" applyFill="1" applyAlignment="1" applyProtection="1"/>
    <xf numFmtId="0" fontId="5" fillId="6" borderId="2" xfId="0" applyFont="1" applyFill="1" applyBorder="1" applyAlignment="1" applyProtection="1">
      <alignment horizontal="center"/>
    </xf>
    <xf numFmtId="0" fontId="11" fillId="0" borderId="2" xfId="0" applyFont="1" applyBorder="1" applyAlignment="1" applyProtection="1"/>
    <xf numFmtId="0" fontId="11" fillId="3" borderId="2" xfId="0" applyFont="1" applyFill="1" applyBorder="1" applyAlignment="1" applyProtection="1">
      <alignment vertical="top"/>
    </xf>
    <xf numFmtId="0" fontId="5" fillId="0" borderId="0" xfId="0" applyFont="1" applyAlignment="1" applyProtection="1">
      <alignment wrapText="1"/>
    </xf>
    <xf numFmtId="0" fontId="12" fillId="3" borderId="2" xfId="0" applyFont="1" applyFill="1" applyBorder="1" applyAlignment="1" applyProtection="1">
      <alignment vertical="top"/>
    </xf>
    <xf numFmtId="0" fontId="12" fillId="0" borderId="0" xfId="0" applyFont="1" applyAlignment="1" applyProtection="1"/>
    <xf numFmtId="0" fontId="8" fillId="0" borderId="0" xfId="0" applyFont="1" applyAlignment="1" applyProtection="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48DD4"/>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7nqi9n1BchtoHKfbCfSFiqh2-gNWBx-3" TargetMode="External"/><Relationship Id="rId21" Type="http://schemas.openxmlformats.org/officeDocument/2006/relationships/hyperlink" Target="https://drive.google.com/drive/folders/1IYQfLVwNswfcGO-dKZOEcPAWXMJShUL_" TargetMode="External"/><Relationship Id="rId34" Type="http://schemas.openxmlformats.org/officeDocument/2006/relationships/hyperlink" Target="https://drive.google.com/drive/folders/130FN_7LTt8PzogdEZa6eTOhOl920Wfrj" TargetMode="External"/><Relationship Id="rId42" Type="http://schemas.openxmlformats.org/officeDocument/2006/relationships/hyperlink" Target="https://drive.google.com/drive/folders/19CYDdqWguMc87HwvJqG6ls0_1yVbusJk" TargetMode="External"/><Relationship Id="rId47" Type="http://schemas.openxmlformats.org/officeDocument/2006/relationships/hyperlink" Target="https://drive.google.com/drive/folders/1rg2fKpw96CeTPlhwxBy9lKUmkBluhuSD" TargetMode="External"/><Relationship Id="rId50" Type="http://schemas.openxmlformats.org/officeDocument/2006/relationships/hyperlink" Target="https://drive.google.com/drive/folders/1rg2fKpw96CeTPlhwxBy9lKUmkBluhuSD" TargetMode="External"/><Relationship Id="rId55" Type="http://schemas.openxmlformats.org/officeDocument/2006/relationships/hyperlink" Target="https://drive.google.com/drive/folders/1eQubYT9_KBWjAItKXkUTaLGeGpY3h7BO" TargetMode="External"/><Relationship Id="rId63" Type="http://schemas.openxmlformats.org/officeDocument/2006/relationships/hyperlink" Target="https://drive.google.com/drive/folders/19UyhofeeZK-Q-4qGkg9urPR2kjNeYMOC" TargetMode="External"/><Relationship Id="rId68" Type="http://schemas.openxmlformats.org/officeDocument/2006/relationships/hyperlink" Target="https://drive.google.com/drive/folders/1mapuxMqv4bBnC7lfc-hqPE-GkTStiuHX" TargetMode="External"/><Relationship Id="rId76" Type="http://schemas.openxmlformats.org/officeDocument/2006/relationships/hyperlink" Target="https://drive.google.com/file/d/1cvsBxzgGhwkIH3rbQxqN0UMrB0oS8FVD/view?usp=drive_link" TargetMode="External"/><Relationship Id="rId84" Type="http://schemas.openxmlformats.org/officeDocument/2006/relationships/hyperlink" Target="https://drive.google.com/drive/folders/1MhO1h59Q9qXK_vTaK-CIkpbl3K6HpvYJ" TargetMode="External"/><Relationship Id="rId89" Type="http://schemas.openxmlformats.org/officeDocument/2006/relationships/hyperlink" Target="https://drive.google.com/drive/folders/1pk3Chg0WPdSs3zFuvtOAq2cZq7GmCGiH" TargetMode="External"/><Relationship Id="rId97" Type="http://schemas.openxmlformats.org/officeDocument/2006/relationships/vmlDrawing" Target="../drawings/vmlDrawing1.vml"/><Relationship Id="rId7" Type="http://schemas.openxmlformats.org/officeDocument/2006/relationships/hyperlink" Target="https://drive.google.com/drive/folders/13R5ydcDZsTgU9S9CVxafW9PKXeEsitjV?usp=drive_link" TargetMode="External"/><Relationship Id="rId71" Type="http://schemas.openxmlformats.org/officeDocument/2006/relationships/hyperlink" Target="https://drive.google.com/drive/folders/1mapuxMqv4bBnC7lfc-hqPE-GkTStiuHX" TargetMode="External"/><Relationship Id="rId92" Type="http://schemas.openxmlformats.org/officeDocument/2006/relationships/hyperlink" Target="https://drive.google.com/drive/folders/1tps3gz5TqHg0vAXmzvpr4j8-QrZLp9BC" TargetMode="External"/><Relationship Id="rId2" Type="http://schemas.openxmlformats.org/officeDocument/2006/relationships/hyperlink" Target="https://drive.google.com/drive/folders/1LdBzExy1YbG0oEbz1jPy3SkcvW76PiZR" TargetMode="External"/><Relationship Id="rId16" Type="http://schemas.openxmlformats.org/officeDocument/2006/relationships/hyperlink" Target="https://drive.google.com/drive/folders/14zrIbdPCsxdJuhHTGBpgY2jL9lzFebsN" TargetMode="External"/><Relationship Id="rId29" Type="http://schemas.openxmlformats.org/officeDocument/2006/relationships/hyperlink" Target="https://drive.google.com/drive/folders/1OJ3kxVxw9yhyVvPcj4lAtZVRvI6UtXs_" TargetMode="External"/><Relationship Id="rId11" Type="http://schemas.openxmlformats.org/officeDocument/2006/relationships/hyperlink" Target="https://drive.google.com/drive/folders/1v5PFo_rL5WEAQ9DsjzwtKHaQqFWCfoNn" TargetMode="External"/><Relationship Id="rId24" Type="http://schemas.openxmlformats.org/officeDocument/2006/relationships/hyperlink" Target="https://drive.google.com/drive/folders/1aYvYiIGK0bLmaslxX5eWDsY5gIgAxGE5" TargetMode="External"/><Relationship Id="rId32" Type="http://schemas.openxmlformats.org/officeDocument/2006/relationships/hyperlink" Target="https://drive.google.com/drive/folders/1Z1p6iVbf8ZfNUNKctMlV-gTfT9a90dUO" TargetMode="External"/><Relationship Id="rId37" Type="http://schemas.openxmlformats.org/officeDocument/2006/relationships/hyperlink" Target="https://drive.google.com/drive/folders/1WQcos9JHcWphjLlluEt1u6QqWwPv16T6" TargetMode="External"/><Relationship Id="rId40" Type="http://schemas.openxmlformats.org/officeDocument/2006/relationships/hyperlink" Target="https://drive.google.com/drive/folders/1b84vtkIjY001Y-LDfgSLFLN_4Ua1dz7P" TargetMode="External"/><Relationship Id="rId45" Type="http://schemas.openxmlformats.org/officeDocument/2006/relationships/hyperlink" Target="https://drive.google.com/drive/folders/1Tq56rCfmKzfP6vGphXVq3FftfJ8y9W2I" TargetMode="External"/><Relationship Id="rId53" Type="http://schemas.openxmlformats.org/officeDocument/2006/relationships/hyperlink" Target="https://drive.google.com/drive/folders/1EWcp25cWf4rxmKDGWWA4b7J2Mrcppp9t" TargetMode="External"/><Relationship Id="rId58" Type="http://schemas.openxmlformats.org/officeDocument/2006/relationships/hyperlink" Target="https://drive.google.com/drive/folders/1EgEUg71TCUVyqx5EBRpi-b4OsHDeFAan" TargetMode="External"/><Relationship Id="rId66" Type="http://schemas.openxmlformats.org/officeDocument/2006/relationships/hyperlink" Target="https://drive.google.com/drive/folders/1ZzNG4wJkT5JbLCHUvJnFnDMEk8vYy9FV" TargetMode="External"/><Relationship Id="rId74" Type="http://schemas.openxmlformats.org/officeDocument/2006/relationships/hyperlink" Target="https://drive.google.com/file/d/1cvsBxzgGhwkIH3rbQxqN0UMrB0oS8FVD/view?usp=drive_link" TargetMode="External"/><Relationship Id="rId79" Type="http://schemas.openxmlformats.org/officeDocument/2006/relationships/hyperlink" Target="https://drive.google.com/drive/folders/16DfZviR3HK2rweX-OL9dVN7BhLUkxsmx" TargetMode="External"/><Relationship Id="rId87" Type="http://schemas.openxmlformats.org/officeDocument/2006/relationships/hyperlink" Target="https://drive.google.com/drive/folders/17k0D3Iq77oQe-UuiCTdFj3qmrrBOhjpT" TargetMode="External"/><Relationship Id="rId5" Type="http://schemas.openxmlformats.org/officeDocument/2006/relationships/hyperlink" Target="https://drive.google.com/drive/folders/1LdBzExy1YbG0oEbz1jPy3SkcvW76PiZR" TargetMode="External"/><Relationship Id="rId61" Type="http://schemas.openxmlformats.org/officeDocument/2006/relationships/hyperlink" Target="http://drive.google.com/drive/folders/1X-Vcg99nMs51Nk-O1nsPdkaKT5Rzr_bi" TargetMode="External"/><Relationship Id="rId82" Type="http://schemas.openxmlformats.org/officeDocument/2006/relationships/hyperlink" Target="https://drive.google.com/drive/folders/1MhO1h59Q9qXK_vTaK-CIkpbl3K6HpvYJ" TargetMode="External"/><Relationship Id="rId90" Type="http://schemas.openxmlformats.org/officeDocument/2006/relationships/hyperlink" Target="https://drive.google.com/drive/folders/1952XiGV0w36dsIiIExLhkqevtMrpHBRI" TargetMode="External"/><Relationship Id="rId95" Type="http://schemas.openxmlformats.org/officeDocument/2006/relationships/hyperlink" Target="https://drive.google.com/drive/folders/1OPYaLQLL6VZHhXpN15KvOt-I2PiB0Fu0" TargetMode="External"/><Relationship Id="rId19" Type="http://schemas.openxmlformats.org/officeDocument/2006/relationships/hyperlink" Target="https://drive.google.com/drive/folders/1uzr6NJKRStMhnDDofeFaPjLjh0KdD8f5" TargetMode="External"/><Relationship Id="rId14" Type="http://schemas.openxmlformats.org/officeDocument/2006/relationships/hyperlink" Target="https://drive.google.com/drive/folders/1W0chWWJxQITFQX8qZPlnjboQTzuztD1F" TargetMode="External"/><Relationship Id="rId22" Type="http://schemas.openxmlformats.org/officeDocument/2006/relationships/hyperlink" Target="https://drive.google.com/drive/folders/1RRBxfJPuzZMLRVIzMTb4NSErLaOxCt5w" TargetMode="External"/><Relationship Id="rId27" Type="http://schemas.openxmlformats.org/officeDocument/2006/relationships/hyperlink" Target="https://drive.google.com/drive/folders/1-2SDtnilKVkzbzm9670h4Q6m2h67DLEr" TargetMode="External"/><Relationship Id="rId30" Type="http://schemas.openxmlformats.org/officeDocument/2006/relationships/hyperlink" Target="https://drive.google.com/drive/folders/1Fp0aiedr33njv9LVd2JC0tg1MAvEB5L_" TargetMode="External"/><Relationship Id="rId35" Type="http://schemas.openxmlformats.org/officeDocument/2006/relationships/hyperlink" Target="https://drive.google.com/drive/folders/130FN_7LTt8PzogdEZa6eTOhOl920Wfrj" TargetMode="External"/><Relationship Id="rId43" Type="http://schemas.openxmlformats.org/officeDocument/2006/relationships/hyperlink" Target="https://drive.google.com/drive/folders/19CYDdqWguMc87HwvJqG6ls0_1yVbusJk" TargetMode="External"/><Relationship Id="rId48" Type="http://schemas.openxmlformats.org/officeDocument/2006/relationships/hyperlink" Target="https://drive.google.com/drive/folders/1OsuQpqPHBUB_kOYJ3FmLaR4JtacmLQk-" TargetMode="External"/><Relationship Id="rId56" Type="http://schemas.openxmlformats.org/officeDocument/2006/relationships/hyperlink" Target="https://drive.google.com/drive/folders/1eQubYT9_KBWjAItKXkUTaLGeGpY3h7BO" TargetMode="External"/><Relationship Id="rId64" Type="http://schemas.openxmlformats.org/officeDocument/2006/relationships/hyperlink" Target="https://drive.google.com/drive/folders/19UyhofeeZK-Q-4qGkg9urPR2kjNeYMOC" TargetMode="External"/><Relationship Id="rId69" Type="http://schemas.openxmlformats.org/officeDocument/2006/relationships/hyperlink" Target="https://drive.google.com/drive/folders/1mapuxMqv4bBnC7lfc-hqPE-GkTStiuHX" TargetMode="External"/><Relationship Id="rId77" Type="http://schemas.openxmlformats.org/officeDocument/2006/relationships/hyperlink" Target="https://drive.google.com/drive/folders/16DfZviR3HK2rweX-OL9dVN7BhLUkxsmx" TargetMode="External"/><Relationship Id="rId8" Type="http://schemas.openxmlformats.org/officeDocument/2006/relationships/hyperlink" Target="https://drive.google.com/drive/folders/1rzFaWfqPq962WWIfcZTMSwxV9pyxXJao" TargetMode="External"/><Relationship Id="rId51" Type="http://schemas.openxmlformats.org/officeDocument/2006/relationships/hyperlink" Target="https://drive.google.com/drive/folders/1aolEGj-F-Yl7o1AgeN3vMol0tvM7HgB8" TargetMode="External"/><Relationship Id="rId72" Type="http://schemas.openxmlformats.org/officeDocument/2006/relationships/hyperlink" Target="https://drive.google.com/file/d/1YJxqQaepEEQ649OUca3H82F8Ekp1SYmq/view?usp=drive_link" TargetMode="External"/><Relationship Id="rId80" Type="http://schemas.openxmlformats.org/officeDocument/2006/relationships/hyperlink" Target="https://drive.google.com/drive/folders/1k72A9tHRxR4FYo5g4XGyAuGmLdv4Ehbz" TargetMode="External"/><Relationship Id="rId85" Type="http://schemas.openxmlformats.org/officeDocument/2006/relationships/hyperlink" Target="https://drive.google.com/drive/folders/1zltBsmz7UT_9bFiuYPX3SOcyXyvmfjUO" TargetMode="External"/><Relationship Id="rId93" Type="http://schemas.openxmlformats.org/officeDocument/2006/relationships/hyperlink" Target="https://drive.google.com/drive/folders/1Avw32_rbo6CYnhy6rrgWk4I6QwIKCB1N" TargetMode="External"/><Relationship Id="rId98" Type="http://schemas.openxmlformats.org/officeDocument/2006/relationships/comments" Target="../comments1.xml"/><Relationship Id="rId3" Type="http://schemas.openxmlformats.org/officeDocument/2006/relationships/hyperlink" Target="https://drive.google.com/drive/folders/1BZTPlrGbiOcKSSlGhOfzdjAdnugKSXtF" TargetMode="External"/><Relationship Id="rId12" Type="http://schemas.openxmlformats.org/officeDocument/2006/relationships/hyperlink" Target="https://drive.google.com/drive/folders/1W0chWWJxQITFQX8qZPlnjboQTzuztD1F" TargetMode="External"/><Relationship Id="rId17" Type="http://schemas.openxmlformats.org/officeDocument/2006/relationships/hyperlink" Target="https://drive.google.com/drive/folders/1rsZFZeulPRCYwiMXlaM-GcvB3vIGGO3x" TargetMode="External"/><Relationship Id="rId25" Type="http://schemas.openxmlformats.org/officeDocument/2006/relationships/hyperlink" Target="https://drive.google.com/drive/folders/1u2EMBQNnKkj1JWL4zsJCQgYfEQb8s4QG" TargetMode="External"/><Relationship Id="rId33" Type="http://schemas.openxmlformats.org/officeDocument/2006/relationships/hyperlink" Target="https://drive.google.com/drive/folders/1Z1p6iVbf8ZfNUNKctMlV-gTfT9a90dUO" TargetMode="External"/><Relationship Id="rId38" Type="http://schemas.openxmlformats.org/officeDocument/2006/relationships/hyperlink" Target="https://drive.google.com/drive/folders/1WQcos9JHcWphjLlluEt1u6QqWwPv16T6" TargetMode="External"/><Relationship Id="rId46" Type="http://schemas.openxmlformats.org/officeDocument/2006/relationships/hyperlink" Target="https://drive.google.com/drive/folders/1yI9fG2L5PT0_VG-uyQXa-JKvcqVLxoLq" TargetMode="External"/><Relationship Id="rId59" Type="http://schemas.openxmlformats.org/officeDocument/2006/relationships/hyperlink" Target="https://drive.google.com/drive/folders/1EgEUg71TCUVyqx5EBRpi-b4OsHDeFAan" TargetMode="External"/><Relationship Id="rId67" Type="http://schemas.openxmlformats.org/officeDocument/2006/relationships/hyperlink" Target="https://drive.google.com/drive/folders/1mapuxMqv4bBnC7lfc-hqPE-GkTStiuHX" TargetMode="External"/><Relationship Id="rId20" Type="http://schemas.openxmlformats.org/officeDocument/2006/relationships/hyperlink" Target="https://drive.google.com/drive/folders/1RRBxfJPuzZMLRVIzMTb4NSErLaOxCt5w" TargetMode="External"/><Relationship Id="rId41" Type="http://schemas.openxmlformats.org/officeDocument/2006/relationships/hyperlink" Target="https://drive.google.com/drive/folders/142PceXJfvcSHBq42bMrcYZ0T8zoGQkbR" TargetMode="External"/><Relationship Id="rId54" Type="http://schemas.openxmlformats.org/officeDocument/2006/relationships/hyperlink" Target="https://drive.google.com/drive/folders/1EWcp25cWf4rxmKDGWWA4b7J2Mrcppp9t" TargetMode="External"/><Relationship Id="rId62" Type="http://schemas.openxmlformats.org/officeDocument/2006/relationships/hyperlink" Target="https://drive.google.com/drive/folders/19UyhofeeZK-Q-4qGkg9urPR2kjNeYMOC" TargetMode="External"/><Relationship Id="rId70" Type="http://schemas.openxmlformats.org/officeDocument/2006/relationships/hyperlink" Target="https://drive.google.com/drive/folders/1mapuxMqv4bBnC7lfc-hqPE-GkTStiuHX" TargetMode="External"/><Relationship Id="rId75" Type="http://schemas.openxmlformats.org/officeDocument/2006/relationships/hyperlink" Target="https://drive.google.com/file/d/1YJxqQaepEEQ649OUca3H82F8Ekp1SYmq/view?usp=drive_link" TargetMode="External"/><Relationship Id="rId83" Type="http://schemas.openxmlformats.org/officeDocument/2006/relationships/hyperlink" Target="https://drive.google.com/drive/folders/1zltBsmz7UT_9bFiuYPX3SOcyXyvmfjUO" TargetMode="External"/><Relationship Id="rId88" Type="http://schemas.openxmlformats.org/officeDocument/2006/relationships/hyperlink" Target="https://drive.google.com/drive/folders/17k0D3Iq77oQe-UuiCTdFj3qmrrBOhjpT" TargetMode="External"/><Relationship Id="rId91" Type="http://schemas.openxmlformats.org/officeDocument/2006/relationships/hyperlink" Target="https://drive.google.com/drive/folders/1zM0Rev7y-YlY1Lu-IhgyfZF61zp_12Pg" TargetMode="External"/><Relationship Id="rId96" Type="http://schemas.openxmlformats.org/officeDocument/2006/relationships/hyperlink" Target="https://drive.google.com/drive/folders/1bgF94U4rhIaJc_Zw8FBt3IamQ1AVSDqu" TargetMode="External"/><Relationship Id="rId1" Type="http://schemas.openxmlformats.org/officeDocument/2006/relationships/hyperlink" Target="https://drive.google.com/drive/folders/1cc5cpb9x2xwyAoBBs67LEUqpqbe4cNCu" TargetMode="External"/><Relationship Id="rId6" Type="http://schemas.openxmlformats.org/officeDocument/2006/relationships/hyperlink" Target="https://drive.google.com/drive/folders/1LGlr0snTHTDmlIvybUh5fmdkNjI15f5y" TargetMode="External"/><Relationship Id="rId15" Type="http://schemas.openxmlformats.org/officeDocument/2006/relationships/hyperlink" Target="https://drive.google.com/drive/folders/19efuYBKjM8Oh-ZfVDbMFTiX1XJq4P8ez" TargetMode="External"/><Relationship Id="rId23" Type="http://schemas.openxmlformats.org/officeDocument/2006/relationships/hyperlink" Target="https://drive.google.com/drive/folders/1XVHXVNZhsQLqJm55cowRAr7WgAyCuGG9" TargetMode="External"/><Relationship Id="rId28" Type="http://schemas.openxmlformats.org/officeDocument/2006/relationships/hyperlink" Target="https://drive.google.com/drive/folders/1amUHJ6EEV4uoBb1yKnPdglVV4cfaXurS" TargetMode="External"/><Relationship Id="rId36" Type="http://schemas.openxmlformats.org/officeDocument/2006/relationships/hyperlink" Target="https://drive.google.com/drive/folders/130FN_7LTt8PzogdEZa6eTOhOl920Wfrj" TargetMode="External"/><Relationship Id="rId49" Type="http://schemas.openxmlformats.org/officeDocument/2006/relationships/hyperlink" Target="https://drive.google.com/drive/folders/1zfK8iusdA9tBDpVodUvhgzm_uIYKWr-w" TargetMode="External"/><Relationship Id="rId57" Type="http://schemas.openxmlformats.org/officeDocument/2006/relationships/hyperlink" Target="https://drive.google.com/drive/folders/1eQubYT9_KBWjAItKXkUTaLGeGpY3h7BO" TargetMode="External"/><Relationship Id="rId10" Type="http://schemas.openxmlformats.org/officeDocument/2006/relationships/hyperlink" Target="https://drive.google.com/drive/folders/12wK-wJ-CRCypOnppn1Cjqd7Y54vmea1_" TargetMode="External"/><Relationship Id="rId31" Type="http://schemas.openxmlformats.org/officeDocument/2006/relationships/hyperlink" Target="https://drive.google.com/drive/folders/1Z1p6iVbf8ZfNUNKctMlV-gTfT9a90dUO" TargetMode="External"/><Relationship Id="rId44" Type="http://schemas.openxmlformats.org/officeDocument/2006/relationships/hyperlink" Target="https://drive.google.com/drive/folders/1Tq56rCfmKzfP6vGphXVq3FftfJ8y9W2I" TargetMode="External"/><Relationship Id="rId52" Type="http://schemas.openxmlformats.org/officeDocument/2006/relationships/hyperlink" Target="https://drive.google.com/drive/folders/1EWcp25cWf4rxmKDGWWA4b7J2Mrcppp9t" TargetMode="External"/><Relationship Id="rId60" Type="http://schemas.openxmlformats.org/officeDocument/2006/relationships/hyperlink" Target="https://drive.google.com/drive/folders/1fJEhGAAG1s9UUSD3w3L0iQ9ukZ8oTd4Y" TargetMode="External"/><Relationship Id="rId65" Type="http://schemas.openxmlformats.org/officeDocument/2006/relationships/hyperlink" Target="https://drive.google.com/drive/folders/1zNd1D2h-z-VYbFcd_0_QKnoePDwbyND-" TargetMode="External"/><Relationship Id="rId73" Type="http://schemas.openxmlformats.org/officeDocument/2006/relationships/hyperlink" Target="https://drive.google.com/file/d/1cvsBxzgGhwkIH3rbQxqN0UMrB0oS8FVD/view?usp=drive_link" TargetMode="External"/><Relationship Id="rId78" Type="http://schemas.openxmlformats.org/officeDocument/2006/relationships/hyperlink" Target="https://drive.google.com/drive/folders/16DfZviR3HK2rweX-OL9dVN7BhLUkxsmx" TargetMode="External"/><Relationship Id="rId81" Type="http://schemas.openxmlformats.org/officeDocument/2006/relationships/hyperlink" Target="https://drive.google.com/drive/folders/1zltBsmz7UT_9bFiuYPX3SOcyXyvmfjUO" TargetMode="External"/><Relationship Id="rId86" Type="http://schemas.openxmlformats.org/officeDocument/2006/relationships/hyperlink" Target="https://drive.google.com/drive/folders/1zltBsmz7UT_9bFiuYPX3SOcyXyvmfjUO" TargetMode="External"/><Relationship Id="rId94" Type="http://schemas.openxmlformats.org/officeDocument/2006/relationships/hyperlink" Target="https://drive.google.com/drive/folders/1NtmZ4yB99ueHXrp27z2cSBUmOCh153xK" TargetMode="External"/><Relationship Id="rId4" Type="http://schemas.openxmlformats.org/officeDocument/2006/relationships/hyperlink" Target="https://drive.google.com/drive/folders/184IyEgfQEVb0mxUHFCwhbcytQbdnM25v" TargetMode="External"/><Relationship Id="rId9" Type="http://schemas.openxmlformats.org/officeDocument/2006/relationships/hyperlink" Target="https://drive.google.com/drive/folders/1rzFaWfqPq962WWIfcZTMSwxV9pyxXJao" TargetMode="External"/><Relationship Id="rId13" Type="http://schemas.openxmlformats.org/officeDocument/2006/relationships/hyperlink" Target="https://drive.google.com/drive/folders/1Xzeum8R9QMY_Y8iTd8-rQO30BLzR3Cru" TargetMode="External"/><Relationship Id="rId18" Type="http://schemas.openxmlformats.org/officeDocument/2006/relationships/hyperlink" Target="https://drive.google.com/drive/folders/1W0chWWJxQITFQX8qZPlnjboQTzuztD1F" TargetMode="External"/><Relationship Id="rId39" Type="http://schemas.openxmlformats.org/officeDocument/2006/relationships/hyperlink" Target="https://drive.google.com/drive/folders/1WQcos9JHcWphjLlluEt1u6QqWwPv16T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121"/>
  <sheetViews>
    <sheetView showGridLines="0" tabSelected="1" topLeftCell="N74" zoomScale="70" zoomScaleNormal="70" workbookViewId="0">
      <selection activeCell="Q77" sqref="Q77"/>
    </sheetView>
  </sheetViews>
  <sheetFormatPr baseColWidth="10" defaultColWidth="14.42578125" defaultRowHeight="15" x14ac:dyDescent="0.25"/>
  <cols>
    <col min="1" max="1" width="10.7109375" style="1" customWidth="1"/>
    <col min="2" max="2" width="63.85546875" style="1" customWidth="1"/>
    <col min="3" max="3" width="20.85546875" style="1" customWidth="1"/>
    <col min="4" max="4" width="12.5703125" style="1" customWidth="1"/>
    <col min="5" max="5" width="18.5703125" style="1" customWidth="1"/>
    <col min="6" max="6" width="23.42578125" style="1" customWidth="1"/>
    <col min="7" max="7" width="23.140625" style="1" customWidth="1"/>
    <col min="8" max="8" width="41.85546875" style="1" customWidth="1"/>
    <col min="9" max="9" width="18.42578125" style="1" customWidth="1"/>
    <col min="10" max="10" width="22.7109375" style="1" customWidth="1"/>
    <col min="11" max="11" width="20.85546875" style="1" customWidth="1"/>
    <col min="12" max="12" width="20.28515625" style="1" customWidth="1"/>
    <col min="13" max="13" width="59.5703125" style="1" customWidth="1"/>
    <col min="14" max="14" width="32.28515625" style="1" customWidth="1"/>
    <col min="15" max="15" width="36.140625" style="1" customWidth="1"/>
    <col min="16" max="16" width="20.28515625" style="1" customWidth="1"/>
    <col min="17" max="28" width="32.28515625" style="1" customWidth="1"/>
  </cols>
  <sheetData>
    <row r="1" spans="1:28" ht="51.75" customHeight="1" x14ac:dyDescent="0.25">
      <c r="A1" s="2" t="s">
        <v>0</v>
      </c>
      <c r="B1" s="3" t="s">
        <v>1</v>
      </c>
      <c r="C1" s="3" t="s">
        <v>2</v>
      </c>
      <c r="D1" s="2" t="s">
        <v>3</v>
      </c>
      <c r="E1" s="2" t="s">
        <v>4</v>
      </c>
      <c r="F1" s="3" t="s">
        <v>5</v>
      </c>
      <c r="G1" s="4" t="s">
        <v>6</v>
      </c>
      <c r="H1" s="3" t="s">
        <v>7</v>
      </c>
      <c r="I1" s="3" t="s">
        <v>8</v>
      </c>
      <c r="J1" s="3" t="s">
        <v>9</v>
      </c>
      <c r="K1" s="2" t="s">
        <v>10</v>
      </c>
      <c r="L1" s="5" t="s">
        <v>11</v>
      </c>
      <c r="M1" s="3" t="s">
        <v>12</v>
      </c>
      <c r="N1" s="6" t="s">
        <v>13</v>
      </c>
      <c r="O1" s="3" t="s">
        <v>14</v>
      </c>
      <c r="P1" s="7" t="s">
        <v>15</v>
      </c>
      <c r="Q1" s="6" t="s">
        <v>16</v>
      </c>
      <c r="R1" s="6" t="s">
        <v>17</v>
      </c>
      <c r="S1" s="8"/>
      <c r="T1" s="8"/>
      <c r="U1" s="8"/>
      <c r="V1" s="8"/>
      <c r="W1" s="8"/>
      <c r="X1" s="8"/>
      <c r="Y1" s="8"/>
      <c r="Z1" s="8"/>
      <c r="AA1" s="8"/>
      <c r="AB1" s="8"/>
    </row>
    <row r="2" spans="1:28" ht="103.5" customHeight="1" x14ac:dyDescent="0.25">
      <c r="A2" s="9">
        <v>1</v>
      </c>
      <c r="B2" s="10" t="s">
        <v>18</v>
      </c>
      <c r="C2" s="11" t="s">
        <v>19</v>
      </c>
      <c r="D2" s="12">
        <v>1</v>
      </c>
      <c r="E2" s="12" t="s">
        <v>20</v>
      </c>
      <c r="F2" s="11" t="s">
        <v>21</v>
      </c>
      <c r="G2" s="11" t="s">
        <v>22</v>
      </c>
      <c r="H2" s="11" t="s">
        <v>23</v>
      </c>
      <c r="I2" s="11" t="s">
        <v>24</v>
      </c>
      <c r="J2" s="11" t="s">
        <v>21</v>
      </c>
      <c r="K2" s="13">
        <v>577362000</v>
      </c>
      <c r="L2" s="14">
        <f>K2*0.19</f>
        <v>109698780</v>
      </c>
      <c r="M2" s="11" t="s">
        <v>25</v>
      </c>
      <c r="N2" s="15" t="s">
        <v>26</v>
      </c>
      <c r="O2" s="16" t="s">
        <v>27</v>
      </c>
      <c r="P2" s="7" t="s">
        <v>28</v>
      </c>
      <c r="Q2" s="15" t="s">
        <v>29</v>
      </c>
      <c r="R2" s="15" t="s">
        <v>30</v>
      </c>
      <c r="S2" s="8"/>
      <c r="T2" s="8"/>
      <c r="U2" s="8"/>
      <c r="V2" s="8"/>
      <c r="W2" s="8"/>
      <c r="X2" s="8"/>
      <c r="Y2" s="8"/>
      <c r="Z2" s="8"/>
      <c r="AA2" s="8"/>
      <c r="AB2" s="8"/>
    </row>
    <row r="3" spans="1:28" ht="103.5" customHeight="1" x14ac:dyDescent="0.25">
      <c r="A3" s="17">
        <v>2</v>
      </c>
      <c r="B3" s="18" t="s">
        <v>18</v>
      </c>
      <c r="C3" s="11" t="s">
        <v>31</v>
      </c>
      <c r="D3" s="19">
        <v>1</v>
      </c>
      <c r="E3" s="19" t="s">
        <v>20</v>
      </c>
      <c r="F3" s="20" t="s">
        <v>32</v>
      </c>
      <c r="G3" s="20" t="s">
        <v>33</v>
      </c>
      <c r="H3" s="20" t="s">
        <v>34</v>
      </c>
      <c r="I3" s="20" t="s">
        <v>24</v>
      </c>
      <c r="J3" s="20" t="s">
        <v>35</v>
      </c>
      <c r="K3" s="21">
        <v>713122839.91999996</v>
      </c>
      <c r="L3" s="22" t="s">
        <v>36</v>
      </c>
      <c r="M3" s="11" t="s">
        <v>25</v>
      </c>
      <c r="N3" s="15" t="s">
        <v>37</v>
      </c>
      <c r="O3" s="16"/>
      <c r="P3" s="7" t="s">
        <v>38</v>
      </c>
      <c r="Q3" s="15" t="s">
        <v>39</v>
      </c>
      <c r="R3" s="15"/>
      <c r="S3" s="8"/>
      <c r="T3" s="8"/>
      <c r="U3" s="8"/>
      <c r="V3" s="8"/>
      <c r="W3" s="8"/>
      <c r="X3" s="8"/>
      <c r="Y3" s="8"/>
      <c r="Z3" s="8"/>
      <c r="AA3" s="8"/>
      <c r="AB3" s="8"/>
    </row>
    <row r="4" spans="1:28" ht="99" customHeight="1" x14ac:dyDescent="0.25">
      <c r="A4" s="17">
        <v>3</v>
      </c>
      <c r="B4" s="18" t="s">
        <v>18</v>
      </c>
      <c r="C4" s="11" t="s">
        <v>31</v>
      </c>
      <c r="D4" s="19">
        <v>1</v>
      </c>
      <c r="E4" s="19" t="s">
        <v>20</v>
      </c>
      <c r="F4" s="20" t="s">
        <v>32</v>
      </c>
      <c r="G4" s="20" t="s">
        <v>40</v>
      </c>
      <c r="H4" s="20" t="s">
        <v>34</v>
      </c>
      <c r="I4" s="20" t="s">
        <v>24</v>
      </c>
      <c r="J4" s="20" t="s">
        <v>35</v>
      </c>
      <c r="K4" s="21">
        <v>713122839.91999996</v>
      </c>
      <c r="L4" s="22" t="s">
        <v>36</v>
      </c>
      <c r="M4" s="11" t="s">
        <v>25</v>
      </c>
      <c r="N4" s="15" t="s">
        <v>41</v>
      </c>
      <c r="O4" s="23"/>
      <c r="P4" s="7" t="s">
        <v>42</v>
      </c>
      <c r="Q4" s="15" t="s">
        <v>43</v>
      </c>
      <c r="R4" s="15"/>
      <c r="S4" s="8"/>
      <c r="T4" s="8"/>
      <c r="U4" s="8"/>
      <c r="V4" s="8"/>
      <c r="W4" s="8"/>
      <c r="X4" s="8"/>
      <c r="Y4" s="8"/>
      <c r="Z4" s="8"/>
      <c r="AA4" s="8"/>
      <c r="AB4" s="8"/>
    </row>
    <row r="5" spans="1:28" ht="103.5" customHeight="1" x14ac:dyDescent="0.25">
      <c r="A5" s="9">
        <v>4</v>
      </c>
      <c r="B5" s="10" t="s">
        <v>18</v>
      </c>
      <c r="C5" s="11" t="s">
        <v>19</v>
      </c>
      <c r="D5" s="12">
        <v>1</v>
      </c>
      <c r="E5" s="12" t="s">
        <v>20</v>
      </c>
      <c r="F5" s="11" t="s">
        <v>21</v>
      </c>
      <c r="G5" s="11" t="s">
        <v>44</v>
      </c>
      <c r="H5" s="11" t="s">
        <v>45</v>
      </c>
      <c r="I5" s="11" t="s">
        <v>24</v>
      </c>
      <c r="J5" s="11" t="s">
        <v>21</v>
      </c>
      <c r="K5" s="13">
        <v>593808411</v>
      </c>
      <c r="L5" s="14">
        <f>K5*0.19</f>
        <v>112823598.09</v>
      </c>
      <c r="M5" s="11" t="s">
        <v>25</v>
      </c>
      <c r="N5" s="15" t="s">
        <v>46</v>
      </c>
      <c r="O5" s="16" t="s">
        <v>27</v>
      </c>
      <c r="P5" s="7">
        <v>1932</v>
      </c>
      <c r="Q5" s="15" t="s">
        <v>47</v>
      </c>
      <c r="R5" s="15" t="s">
        <v>30</v>
      </c>
      <c r="S5" s="8"/>
      <c r="T5" s="8"/>
      <c r="U5" s="8"/>
      <c r="V5" s="8"/>
      <c r="W5" s="8"/>
      <c r="X5" s="8"/>
      <c r="Y5" s="8"/>
      <c r="Z5" s="8"/>
      <c r="AA5" s="8"/>
      <c r="AB5" s="8"/>
    </row>
    <row r="6" spans="1:28" ht="99" customHeight="1" x14ac:dyDescent="0.25">
      <c r="A6" s="19">
        <v>6</v>
      </c>
      <c r="B6" s="24" t="s">
        <v>48</v>
      </c>
      <c r="C6" s="11" t="s">
        <v>49</v>
      </c>
      <c r="D6" s="12">
        <v>18</v>
      </c>
      <c r="E6" s="12" t="s">
        <v>20</v>
      </c>
      <c r="F6" s="11" t="s">
        <v>32</v>
      </c>
      <c r="G6" s="11" t="s">
        <v>50</v>
      </c>
      <c r="H6" s="24" t="s">
        <v>51</v>
      </c>
      <c r="I6" s="11" t="s">
        <v>52</v>
      </c>
      <c r="J6" s="11" t="s">
        <v>21</v>
      </c>
      <c r="K6" s="13">
        <f>K5*0.85</f>
        <v>504737149.34999996</v>
      </c>
      <c r="L6" s="14">
        <f>K6*0.19</f>
        <v>95900058.376499996</v>
      </c>
      <c r="M6" s="11" t="s">
        <v>53</v>
      </c>
      <c r="N6" s="15" t="s">
        <v>54</v>
      </c>
      <c r="O6" s="23"/>
      <c r="P6" s="7" t="s">
        <v>55</v>
      </c>
      <c r="Q6" s="15" t="s">
        <v>56</v>
      </c>
      <c r="R6" s="15"/>
      <c r="S6" s="8"/>
      <c r="T6" s="8"/>
      <c r="U6" s="8"/>
      <c r="V6" s="8"/>
      <c r="W6" s="8"/>
      <c r="X6" s="8"/>
      <c r="Y6" s="8"/>
      <c r="Z6" s="8"/>
      <c r="AA6" s="8"/>
      <c r="AB6" s="8"/>
    </row>
    <row r="7" spans="1:28" ht="99" customHeight="1" x14ac:dyDescent="0.25">
      <c r="A7" s="17">
        <v>7</v>
      </c>
      <c r="B7" s="24" t="s">
        <v>57</v>
      </c>
      <c r="C7" s="11" t="s">
        <v>58</v>
      </c>
      <c r="D7" s="12">
        <v>20</v>
      </c>
      <c r="E7" s="12" t="s">
        <v>20</v>
      </c>
      <c r="F7" s="11" t="s">
        <v>59</v>
      </c>
      <c r="G7" s="24" t="s">
        <v>60</v>
      </c>
      <c r="H7" s="24" t="s">
        <v>61</v>
      </c>
      <c r="I7" s="11" t="s">
        <v>62</v>
      </c>
      <c r="J7" s="11" t="s">
        <v>62</v>
      </c>
      <c r="K7" s="13">
        <v>500428320</v>
      </c>
      <c r="L7" s="14">
        <f>K7*0.19</f>
        <v>95081380.799999997</v>
      </c>
      <c r="M7" s="11" t="s">
        <v>63</v>
      </c>
      <c r="N7" s="15" t="s">
        <v>64</v>
      </c>
      <c r="O7" s="23"/>
      <c r="P7" s="7" t="s">
        <v>55</v>
      </c>
      <c r="Q7" s="15" t="s">
        <v>65</v>
      </c>
      <c r="R7" s="15"/>
      <c r="S7" s="8"/>
      <c r="T7" s="8"/>
      <c r="U7" s="8"/>
      <c r="V7" s="8"/>
      <c r="W7" s="8"/>
      <c r="X7" s="8"/>
      <c r="Y7" s="8"/>
      <c r="Z7" s="8"/>
      <c r="AA7" s="8"/>
      <c r="AB7" s="8"/>
    </row>
    <row r="8" spans="1:28" ht="99" customHeight="1" x14ac:dyDescent="0.25">
      <c r="A8" s="9">
        <v>8</v>
      </c>
      <c r="B8" s="25" t="s">
        <v>57</v>
      </c>
      <c r="C8" s="11" t="s">
        <v>58</v>
      </c>
      <c r="D8" s="12">
        <v>20</v>
      </c>
      <c r="E8" s="12" t="s">
        <v>20</v>
      </c>
      <c r="F8" s="11" t="s">
        <v>66</v>
      </c>
      <c r="G8" s="11" t="s">
        <v>67</v>
      </c>
      <c r="H8" s="24" t="s">
        <v>51</v>
      </c>
      <c r="I8" s="11" t="s">
        <v>52</v>
      </c>
      <c r="J8" s="11" t="s">
        <v>21</v>
      </c>
      <c r="K8" s="13">
        <v>446522000</v>
      </c>
      <c r="L8" s="14">
        <f>K8*0.19</f>
        <v>84839180</v>
      </c>
      <c r="M8" s="11" t="s">
        <v>63</v>
      </c>
      <c r="N8" s="15" t="s">
        <v>68</v>
      </c>
      <c r="O8" s="26"/>
      <c r="P8" s="7" t="s">
        <v>69</v>
      </c>
      <c r="Q8" s="15" t="s">
        <v>70</v>
      </c>
      <c r="R8" s="15"/>
      <c r="S8" s="8"/>
      <c r="T8" s="8"/>
      <c r="U8" s="8"/>
      <c r="V8" s="8"/>
      <c r="W8" s="8"/>
      <c r="X8" s="8"/>
      <c r="Y8" s="8"/>
      <c r="Z8" s="8"/>
      <c r="AA8" s="8"/>
      <c r="AB8" s="8"/>
    </row>
    <row r="9" spans="1:28" ht="99" customHeight="1" x14ac:dyDescent="0.25">
      <c r="A9" s="9">
        <v>9</v>
      </c>
      <c r="B9" s="25" t="s">
        <v>71</v>
      </c>
      <c r="C9" s="11" t="s">
        <v>72</v>
      </c>
      <c r="D9" s="12">
        <v>19</v>
      </c>
      <c r="E9" s="12" t="s">
        <v>20</v>
      </c>
      <c r="F9" s="11" t="s">
        <v>32</v>
      </c>
      <c r="G9" s="11" t="s">
        <v>73</v>
      </c>
      <c r="H9" s="11" t="s">
        <v>74</v>
      </c>
      <c r="I9" s="11" t="s">
        <v>75</v>
      </c>
      <c r="J9" s="11" t="s">
        <v>76</v>
      </c>
      <c r="K9" s="27">
        <f>K2*0.15</f>
        <v>86604300</v>
      </c>
      <c r="L9" s="27">
        <f>K9*0.19</f>
        <v>16454817</v>
      </c>
      <c r="M9" s="11" t="s">
        <v>77</v>
      </c>
      <c r="N9" s="15" t="s">
        <v>68</v>
      </c>
      <c r="O9" s="23"/>
      <c r="P9" s="7" t="s">
        <v>78</v>
      </c>
      <c r="Q9" s="15" t="s">
        <v>70</v>
      </c>
      <c r="R9" s="15"/>
      <c r="S9" s="8"/>
      <c r="T9" s="8"/>
      <c r="U9" s="8"/>
      <c r="V9" s="8"/>
      <c r="W9" s="8"/>
      <c r="X9" s="8"/>
      <c r="Y9" s="8"/>
      <c r="Z9" s="8"/>
      <c r="AA9" s="8"/>
      <c r="AB9" s="8"/>
    </row>
    <row r="10" spans="1:28" ht="99" customHeight="1" x14ac:dyDescent="0.25">
      <c r="A10" s="9">
        <v>10</v>
      </c>
      <c r="B10" s="24" t="s">
        <v>79</v>
      </c>
      <c r="C10" s="11" t="s">
        <v>80</v>
      </c>
      <c r="D10" s="28">
        <v>2032</v>
      </c>
      <c r="E10" s="29" t="s">
        <v>20</v>
      </c>
      <c r="F10" s="29" t="s">
        <v>81</v>
      </c>
      <c r="G10" s="29" t="s">
        <v>82</v>
      </c>
      <c r="H10" s="29" t="s">
        <v>83</v>
      </c>
      <c r="I10" s="29" t="s">
        <v>84</v>
      </c>
      <c r="J10" s="29" t="s">
        <v>84</v>
      </c>
      <c r="K10" s="29"/>
      <c r="L10" s="29"/>
      <c r="M10" s="29" t="s">
        <v>85</v>
      </c>
      <c r="N10" s="15" t="s">
        <v>86</v>
      </c>
      <c r="O10" s="23"/>
      <c r="P10" s="7" t="s">
        <v>87</v>
      </c>
      <c r="Q10" s="15" t="s">
        <v>88</v>
      </c>
      <c r="R10" s="15"/>
      <c r="S10" s="8"/>
      <c r="T10" s="8"/>
      <c r="U10" s="8"/>
      <c r="V10" s="8"/>
      <c r="W10" s="8"/>
      <c r="X10" s="8"/>
      <c r="Y10" s="8"/>
      <c r="Z10" s="8"/>
      <c r="AA10" s="8"/>
      <c r="AB10" s="8"/>
    </row>
    <row r="11" spans="1:28" ht="48" customHeight="1" x14ac:dyDescent="0.25">
      <c r="A11" s="9">
        <v>11</v>
      </c>
      <c r="B11" s="24" t="s">
        <v>79</v>
      </c>
      <c r="C11" s="11" t="s">
        <v>80</v>
      </c>
      <c r="D11" s="12">
        <v>994</v>
      </c>
      <c r="E11" s="12" t="s">
        <v>20</v>
      </c>
      <c r="F11" s="11" t="s">
        <v>89</v>
      </c>
      <c r="G11" s="11" t="s">
        <v>90</v>
      </c>
      <c r="H11" s="24" t="s">
        <v>91</v>
      </c>
      <c r="I11" s="11" t="s">
        <v>89</v>
      </c>
      <c r="J11" s="11" t="s">
        <v>89</v>
      </c>
      <c r="K11" s="13">
        <v>1108170451.5</v>
      </c>
      <c r="L11" s="30">
        <f>0</f>
        <v>0</v>
      </c>
      <c r="M11" s="24" t="s">
        <v>92</v>
      </c>
      <c r="N11" s="15" t="s">
        <v>93</v>
      </c>
      <c r="O11" s="23"/>
      <c r="P11" s="7" t="s">
        <v>94</v>
      </c>
      <c r="Q11" s="15" t="s">
        <v>95</v>
      </c>
      <c r="R11" s="15"/>
      <c r="S11" s="8"/>
      <c r="T11" s="8"/>
      <c r="U11" s="8"/>
      <c r="V11" s="8"/>
      <c r="W11" s="8"/>
      <c r="X11" s="8"/>
      <c r="Y11" s="8"/>
      <c r="Z11" s="8"/>
      <c r="AA11" s="8"/>
      <c r="AB11" s="8"/>
    </row>
    <row r="12" spans="1:28" ht="48" customHeight="1" x14ac:dyDescent="0.25">
      <c r="A12" s="17">
        <v>12</v>
      </c>
      <c r="B12" s="24" t="s">
        <v>79</v>
      </c>
      <c r="C12" s="11" t="s">
        <v>80</v>
      </c>
      <c r="D12" s="12">
        <v>2206</v>
      </c>
      <c r="E12" s="12" t="s">
        <v>20</v>
      </c>
      <c r="F12" s="11" t="s">
        <v>89</v>
      </c>
      <c r="G12" s="11" t="s">
        <v>96</v>
      </c>
      <c r="H12" s="24" t="s">
        <v>91</v>
      </c>
      <c r="I12" s="11" t="s">
        <v>89</v>
      </c>
      <c r="J12" s="11" t="s">
        <v>89</v>
      </c>
      <c r="K12" s="13">
        <v>1108170451.5</v>
      </c>
      <c r="L12" s="30">
        <f>0</f>
        <v>0</v>
      </c>
      <c r="M12" s="24" t="s">
        <v>92</v>
      </c>
      <c r="N12" s="15" t="s">
        <v>97</v>
      </c>
      <c r="O12" s="23"/>
      <c r="P12" s="7" t="s">
        <v>98</v>
      </c>
      <c r="Q12" s="15" t="s">
        <v>99</v>
      </c>
      <c r="R12" s="15"/>
      <c r="S12" s="8"/>
      <c r="T12" s="8"/>
      <c r="U12" s="8"/>
      <c r="V12" s="8"/>
      <c r="W12" s="8"/>
      <c r="X12" s="8"/>
      <c r="Y12" s="8"/>
      <c r="Z12" s="8"/>
      <c r="AA12" s="8"/>
      <c r="AB12" s="8"/>
    </row>
    <row r="13" spans="1:28" ht="48" customHeight="1" x14ac:dyDescent="0.25">
      <c r="A13" s="9">
        <v>13</v>
      </c>
      <c r="B13" s="24" t="s">
        <v>79</v>
      </c>
      <c r="C13" s="11" t="s">
        <v>80</v>
      </c>
      <c r="D13" s="12">
        <v>2032</v>
      </c>
      <c r="E13" s="12" t="s">
        <v>20</v>
      </c>
      <c r="F13" s="11" t="s">
        <v>89</v>
      </c>
      <c r="G13" s="11" t="s">
        <v>100</v>
      </c>
      <c r="H13" s="24" t="s">
        <v>91</v>
      </c>
      <c r="I13" s="11" t="s">
        <v>89</v>
      </c>
      <c r="J13" s="11" t="s">
        <v>89</v>
      </c>
      <c r="K13" s="13">
        <v>1108170451.5</v>
      </c>
      <c r="L13" s="30">
        <f>0</f>
        <v>0</v>
      </c>
      <c r="M13" s="24" t="s">
        <v>92</v>
      </c>
      <c r="N13" s="15" t="s">
        <v>101</v>
      </c>
      <c r="O13" s="23"/>
      <c r="P13" s="7" t="s">
        <v>102</v>
      </c>
      <c r="Q13" s="15" t="s">
        <v>103</v>
      </c>
      <c r="R13" s="15"/>
      <c r="S13" s="8"/>
      <c r="T13" s="8"/>
      <c r="U13" s="8"/>
      <c r="V13" s="8"/>
      <c r="W13" s="8"/>
      <c r="X13" s="8"/>
      <c r="Y13" s="8"/>
      <c r="Z13" s="8"/>
      <c r="AA13" s="8"/>
      <c r="AB13" s="8"/>
    </row>
    <row r="14" spans="1:28" ht="48" customHeight="1" x14ac:dyDescent="0.25">
      <c r="A14" s="9">
        <v>14</v>
      </c>
      <c r="B14" s="24" t="s">
        <v>79</v>
      </c>
      <c r="C14" s="11" t="s">
        <v>80</v>
      </c>
      <c r="D14" s="12">
        <v>2196</v>
      </c>
      <c r="E14" s="12" t="s">
        <v>20</v>
      </c>
      <c r="F14" s="11" t="s">
        <v>89</v>
      </c>
      <c r="G14" s="11" t="s">
        <v>104</v>
      </c>
      <c r="H14" s="24" t="s">
        <v>91</v>
      </c>
      <c r="I14" s="11" t="s">
        <v>89</v>
      </c>
      <c r="J14" s="11" t="s">
        <v>89</v>
      </c>
      <c r="K14" s="13">
        <v>1108170451.5</v>
      </c>
      <c r="L14" s="30">
        <f>0</f>
        <v>0</v>
      </c>
      <c r="M14" s="24" t="s">
        <v>92</v>
      </c>
      <c r="N14" s="15" t="s">
        <v>97</v>
      </c>
      <c r="O14" s="23"/>
      <c r="P14" s="7" t="s">
        <v>105</v>
      </c>
      <c r="Q14" s="15" t="s">
        <v>99</v>
      </c>
      <c r="R14" s="15"/>
      <c r="S14" s="8"/>
      <c r="T14" s="8"/>
      <c r="U14" s="8"/>
      <c r="V14" s="8"/>
      <c r="W14" s="8"/>
      <c r="X14" s="8"/>
      <c r="Y14" s="8"/>
      <c r="Z14" s="8"/>
      <c r="AA14" s="8"/>
      <c r="AB14" s="8"/>
    </row>
    <row r="15" spans="1:28" ht="48" customHeight="1" x14ac:dyDescent="0.25">
      <c r="A15" s="9">
        <v>15</v>
      </c>
      <c r="B15" s="24" t="s">
        <v>79</v>
      </c>
      <c r="C15" s="11" t="s">
        <v>80</v>
      </c>
      <c r="D15" s="12">
        <v>2032</v>
      </c>
      <c r="E15" s="12" t="s">
        <v>20</v>
      </c>
      <c r="F15" s="11" t="s">
        <v>89</v>
      </c>
      <c r="G15" s="11" t="s">
        <v>106</v>
      </c>
      <c r="H15" s="24" t="s">
        <v>91</v>
      </c>
      <c r="I15" s="11" t="s">
        <v>89</v>
      </c>
      <c r="J15" s="11" t="s">
        <v>89</v>
      </c>
      <c r="K15" s="13">
        <v>1108170451.5</v>
      </c>
      <c r="L15" s="30">
        <f>0</f>
        <v>0</v>
      </c>
      <c r="M15" s="24" t="s">
        <v>92</v>
      </c>
      <c r="N15" s="15" t="s">
        <v>107</v>
      </c>
      <c r="O15" s="23"/>
      <c r="P15" s="7" t="s">
        <v>108</v>
      </c>
      <c r="Q15" s="15" t="s">
        <v>109</v>
      </c>
      <c r="R15" s="15"/>
      <c r="S15" s="8"/>
      <c r="T15" s="8"/>
      <c r="U15" s="8"/>
      <c r="V15" s="8"/>
      <c r="W15" s="8"/>
      <c r="X15" s="8"/>
      <c r="Y15" s="8"/>
      <c r="Z15" s="8"/>
      <c r="AA15" s="8"/>
      <c r="AB15" s="8"/>
    </row>
    <row r="16" spans="1:28" ht="48" customHeight="1" x14ac:dyDescent="0.25">
      <c r="A16" s="19">
        <v>16</v>
      </c>
      <c r="B16" s="24" t="s">
        <v>79</v>
      </c>
      <c r="C16" s="11" t="s">
        <v>80</v>
      </c>
      <c r="D16" s="12">
        <v>2032</v>
      </c>
      <c r="E16" s="12" t="s">
        <v>20</v>
      </c>
      <c r="F16" s="11" t="s">
        <v>89</v>
      </c>
      <c r="G16" s="11" t="s">
        <v>110</v>
      </c>
      <c r="H16" s="24" t="s">
        <v>91</v>
      </c>
      <c r="I16" s="11" t="s">
        <v>89</v>
      </c>
      <c r="J16" s="11" t="s">
        <v>89</v>
      </c>
      <c r="K16" s="13">
        <v>1108170451.5</v>
      </c>
      <c r="L16" s="30">
        <f>0</f>
        <v>0</v>
      </c>
      <c r="M16" s="24" t="s">
        <v>92</v>
      </c>
      <c r="N16" s="15" t="s">
        <v>111</v>
      </c>
      <c r="O16" s="23"/>
      <c r="P16" s="7" t="s">
        <v>105</v>
      </c>
      <c r="Q16" s="15" t="s">
        <v>112</v>
      </c>
      <c r="R16" s="15"/>
      <c r="S16" s="8"/>
      <c r="T16" s="8"/>
      <c r="U16" s="8"/>
      <c r="V16" s="8"/>
      <c r="W16" s="8"/>
      <c r="X16" s="8"/>
      <c r="Y16" s="8"/>
      <c r="Z16" s="8"/>
      <c r="AA16" s="8"/>
      <c r="AB16" s="8"/>
    </row>
    <row r="17" spans="1:28" ht="48" customHeight="1" x14ac:dyDescent="0.25">
      <c r="A17" s="17">
        <v>17</v>
      </c>
      <c r="B17" s="24" t="s">
        <v>79</v>
      </c>
      <c r="C17" s="11" t="s">
        <v>80</v>
      </c>
      <c r="D17" s="12">
        <v>2032</v>
      </c>
      <c r="E17" s="12" t="s">
        <v>20</v>
      </c>
      <c r="F17" s="11" t="s">
        <v>89</v>
      </c>
      <c r="G17" s="11" t="s">
        <v>113</v>
      </c>
      <c r="H17" s="24" t="s">
        <v>91</v>
      </c>
      <c r="I17" s="11" t="s">
        <v>89</v>
      </c>
      <c r="J17" s="11" t="s">
        <v>89</v>
      </c>
      <c r="K17" s="13">
        <v>1108170451.5</v>
      </c>
      <c r="L17" s="30">
        <f>0</f>
        <v>0</v>
      </c>
      <c r="M17" s="24" t="s">
        <v>92</v>
      </c>
      <c r="N17" s="15" t="s">
        <v>114</v>
      </c>
      <c r="O17" s="23"/>
      <c r="P17" s="7" t="s">
        <v>102</v>
      </c>
      <c r="Q17" s="15" t="s">
        <v>115</v>
      </c>
      <c r="R17" s="15"/>
      <c r="S17" s="8"/>
      <c r="T17" s="8"/>
      <c r="U17" s="8"/>
      <c r="V17" s="8"/>
      <c r="W17" s="8"/>
      <c r="X17" s="8"/>
      <c r="Y17" s="8"/>
      <c r="Z17" s="8"/>
      <c r="AA17" s="8"/>
      <c r="AB17" s="8"/>
    </row>
    <row r="18" spans="1:28" ht="48" customHeight="1" x14ac:dyDescent="0.25">
      <c r="A18" s="9">
        <v>18</v>
      </c>
      <c r="B18" s="24" t="s">
        <v>79</v>
      </c>
      <c r="C18" s="11" t="s">
        <v>80</v>
      </c>
      <c r="D18" s="12">
        <v>2032</v>
      </c>
      <c r="E18" s="12" t="s">
        <v>20</v>
      </c>
      <c r="F18" s="11" t="s">
        <v>89</v>
      </c>
      <c r="G18" s="11" t="s">
        <v>116</v>
      </c>
      <c r="H18" s="24" t="s">
        <v>91</v>
      </c>
      <c r="I18" s="11" t="s">
        <v>89</v>
      </c>
      <c r="J18" s="11" t="s">
        <v>89</v>
      </c>
      <c r="K18" s="13">
        <v>1108170451.5</v>
      </c>
      <c r="L18" s="30">
        <f>0</f>
        <v>0</v>
      </c>
      <c r="M18" s="24" t="s">
        <v>92</v>
      </c>
      <c r="N18" s="15" t="s">
        <v>97</v>
      </c>
      <c r="O18" s="23"/>
      <c r="P18" s="7" t="s">
        <v>117</v>
      </c>
      <c r="Q18" s="15" t="s">
        <v>99</v>
      </c>
      <c r="R18" s="15"/>
      <c r="S18" s="8"/>
      <c r="T18" s="8"/>
      <c r="U18" s="8"/>
      <c r="V18" s="8"/>
      <c r="W18" s="8"/>
      <c r="X18" s="8"/>
      <c r="Y18" s="8"/>
      <c r="Z18" s="8"/>
      <c r="AA18" s="8"/>
      <c r="AB18" s="8"/>
    </row>
    <row r="19" spans="1:28" ht="48" customHeight="1" x14ac:dyDescent="0.25">
      <c r="A19" s="9">
        <v>19</v>
      </c>
      <c r="B19" s="24" t="s">
        <v>118</v>
      </c>
      <c r="C19" s="11"/>
      <c r="D19" s="12">
        <v>4</v>
      </c>
      <c r="E19" s="12" t="s">
        <v>20</v>
      </c>
      <c r="F19" s="11" t="s">
        <v>119</v>
      </c>
      <c r="G19" s="11" t="s">
        <v>120</v>
      </c>
      <c r="H19" s="24" t="s">
        <v>121</v>
      </c>
      <c r="I19" s="11" t="s">
        <v>122</v>
      </c>
      <c r="J19" s="11" t="s">
        <v>123</v>
      </c>
      <c r="K19" s="13">
        <v>103553181.8</v>
      </c>
      <c r="L19" s="30">
        <v>19675104.539999999</v>
      </c>
      <c r="M19" s="24" t="s">
        <v>124</v>
      </c>
      <c r="N19" s="15" t="s">
        <v>125</v>
      </c>
      <c r="O19" s="15" t="s">
        <v>126</v>
      </c>
      <c r="P19" s="31" t="s">
        <v>127</v>
      </c>
      <c r="Q19" s="15" t="s">
        <v>128</v>
      </c>
      <c r="R19" s="15" t="s">
        <v>129</v>
      </c>
      <c r="S19" s="8"/>
      <c r="T19" s="8"/>
      <c r="U19" s="8"/>
      <c r="V19" s="8"/>
      <c r="W19" s="8"/>
      <c r="X19" s="8"/>
      <c r="Y19" s="8"/>
      <c r="Z19" s="8"/>
      <c r="AA19" s="8"/>
      <c r="AB19" s="8"/>
    </row>
    <row r="20" spans="1:28" ht="48" customHeight="1" x14ac:dyDescent="0.25">
      <c r="A20" s="9">
        <v>20</v>
      </c>
      <c r="B20" s="24" t="s">
        <v>118</v>
      </c>
      <c r="C20" s="11"/>
      <c r="D20" s="12">
        <v>4</v>
      </c>
      <c r="E20" s="12" t="s">
        <v>20</v>
      </c>
      <c r="F20" s="11" t="s">
        <v>119</v>
      </c>
      <c r="G20" s="11" t="s">
        <v>130</v>
      </c>
      <c r="H20" s="24" t="s">
        <v>121</v>
      </c>
      <c r="I20" s="11" t="s">
        <v>122</v>
      </c>
      <c r="J20" s="11" t="s">
        <v>123</v>
      </c>
      <c r="K20" s="13">
        <v>103553181.8</v>
      </c>
      <c r="L20" s="30">
        <v>19675104.539999999</v>
      </c>
      <c r="M20" s="24" t="s">
        <v>124</v>
      </c>
      <c r="N20" s="15" t="s">
        <v>131</v>
      </c>
      <c r="O20" s="15" t="s">
        <v>126</v>
      </c>
      <c r="P20" s="7" t="s">
        <v>132</v>
      </c>
      <c r="Q20" s="15" t="s">
        <v>133</v>
      </c>
      <c r="R20" s="15" t="s">
        <v>129</v>
      </c>
      <c r="S20" s="8"/>
      <c r="T20" s="8"/>
      <c r="U20" s="8"/>
      <c r="V20" s="8"/>
      <c r="W20" s="8"/>
      <c r="X20" s="8"/>
      <c r="Y20" s="8"/>
      <c r="Z20" s="8"/>
      <c r="AA20" s="8"/>
      <c r="AB20" s="8"/>
    </row>
    <row r="21" spans="1:28" ht="120" customHeight="1" x14ac:dyDescent="0.25">
      <c r="A21" s="9">
        <v>21</v>
      </c>
      <c r="B21" s="24" t="s">
        <v>118</v>
      </c>
      <c r="C21" s="11"/>
      <c r="D21" s="12">
        <v>3</v>
      </c>
      <c r="E21" s="12" t="s">
        <v>134</v>
      </c>
      <c r="F21" s="11" t="s">
        <v>119</v>
      </c>
      <c r="G21" s="11" t="s">
        <v>135</v>
      </c>
      <c r="H21" s="24" t="s">
        <v>136</v>
      </c>
      <c r="I21" s="11" t="s">
        <v>122</v>
      </c>
      <c r="J21" s="11" t="s">
        <v>137</v>
      </c>
      <c r="K21" s="13">
        <v>100730645</v>
      </c>
      <c r="L21" s="30">
        <f>K21*0.19</f>
        <v>19138822.550000001</v>
      </c>
      <c r="M21" s="24" t="s">
        <v>138</v>
      </c>
      <c r="N21" s="15" t="s">
        <v>139</v>
      </c>
      <c r="O21" s="23"/>
      <c r="P21" s="7" t="s">
        <v>140</v>
      </c>
      <c r="Q21" s="15" t="s">
        <v>141</v>
      </c>
      <c r="R21" s="15"/>
      <c r="S21" s="8"/>
      <c r="T21" s="8"/>
      <c r="U21" s="8"/>
      <c r="V21" s="8"/>
      <c r="W21" s="8"/>
      <c r="X21" s="8"/>
      <c r="Y21" s="8"/>
      <c r="Z21" s="8"/>
      <c r="AA21" s="8"/>
      <c r="AB21" s="8"/>
    </row>
    <row r="22" spans="1:28" ht="90.75" customHeight="1" x14ac:dyDescent="0.25">
      <c r="A22" s="17">
        <v>22</v>
      </c>
      <c r="B22" s="24" t="s">
        <v>118</v>
      </c>
      <c r="C22" s="11"/>
      <c r="D22" s="12">
        <v>1</v>
      </c>
      <c r="E22" s="12" t="s">
        <v>20</v>
      </c>
      <c r="F22" s="11" t="s">
        <v>119</v>
      </c>
      <c r="G22" s="11" t="s">
        <v>142</v>
      </c>
      <c r="H22" s="24" t="s">
        <v>143</v>
      </c>
      <c r="I22" s="11" t="s">
        <v>119</v>
      </c>
      <c r="J22" s="11" t="s">
        <v>137</v>
      </c>
      <c r="K22" s="13">
        <v>10190450</v>
      </c>
      <c r="L22" s="30">
        <f>K22*0.19</f>
        <v>1936185.5</v>
      </c>
      <c r="M22" s="24" t="s">
        <v>138</v>
      </c>
      <c r="N22" s="15" t="s">
        <v>144</v>
      </c>
      <c r="O22" s="23"/>
      <c r="P22" s="7" t="s">
        <v>145</v>
      </c>
      <c r="Q22" s="15" t="s">
        <v>146</v>
      </c>
      <c r="R22" s="15"/>
      <c r="S22" s="8"/>
      <c r="T22" s="8"/>
      <c r="U22" s="8"/>
      <c r="V22" s="8"/>
      <c r="W22" s="8"/>
      <c r="X22" s="8"/>
      <c r="Y22" s="8"/>
      <c r="Z22" s="8"/>
      <c r="AA22" s="8"/>
      <c r="AB22" s="8"/>
    </row>
    <row r="23" spans="1:28" ht="90.75" customHeight="1" x14ac:dyDescent="0.25">
      <c r="A23" s="9">
        <v>23</v>
      </c>
      <c r="B23" s="24" t="s">
        <v>118</v>
      </c>
      <c r="C23" s="11"/>
      <c r="D23" s="12">
        <v>1</v>
      </c>
      <c r="E23" s="12" t="s">
        <v>134</v>
      </c>
      <c r="F23" s="11" t="s">
        <v>119</v>
      </c>
      <c r="G23" s="11" t="s">
        <v>147</v>
      </c>
      <c r="H23" s="24" t="s">
        <v>148</v>
      </c>
      <c r="I23" s="11" t="s">
        <v>119</v>
      </c>
      <c r="J23" s="11" t="s">
        <v>137</v>
      </c>
      <c r="K23" s="13">
        <v>12504680</v>
      </c>
      <c r="L23" s="30">
        <f>K23*0.19</f>
        <v>2375889.2000000002</v>
      </c>
      <c r="M23" s="24" t="s">
        <v>138</v>
      </c>
      <c r="N23" s="15" t="s">
        <v>149</v>
      </c>
      <c r="O23" s="23"/>
      <c r="P23" s="7" t="s">
        <v>150</v>
      </c>
      <c r="Q23" s="15" t="s">
        <v>151</v>
      </c>
      <c r="R23" s="15"/>
      <c r="S23" s="8"/>
      <c r="T23" s="8"/>
      <c r="U23" s="8"/>
      <c r="V23" s="8"/>
      <c r="W23" s="8"/>
      <c r="X23" s="8"/>
      <c r="Y23" s="8"/>
      <c r="Z23" s="8"/>
      <c r="AA23" s="8"/>
      <c r="AB23" s="8"/>
    </row>
    <row r="24" spans="1:28" ht="90.75" customHeight="1" x14ac:dyDescent="0.25">
      <c r="A24" s="9">
        <v>24</v>
      </c>
      <c r="B24" s="24" t="s">
        <v>152</v>
      </c>
      <c r="C24" s="11"/>
      <c r="D24" s="12">
        <v>1</v>
      </c>
      <c r="E24" s="12" t="s">
        <v>153</v>
      </c>
      <c r="F24" s="11" t="s">
        <v>154</v>
      </c>
      <c r="G24" s="11" t="s">
        <v>155</v>
      </c>
      <c r="H24" s="24" t="s">
        <v>156</v>
      </c>
      <c r="I24" s="11" t="s">
        <v>122</v>
      </c>
      <c r="J24" s="11" t="s">
        <v>157</v>
      </c>
      <c r="K24" s="13"/>
      <c r="L24" s="30"/>
      <c r="M24" s="24" t="s">
        <v>158</v>
      </c>
      <c r="N24" s="15" t="s">
        <v>159</v>
      </c>
      <c r="O24" s="23"/>
      <c r="P24" s="7" t="s">
        <v>160</v>
      </c>
      <c r="Q24" s="15" t="s">
        <v>161</v>
      </c>
      <c r="R24" s="15"/>
      <c r="S24" s="8"/>
      <c r="T24" s="8"/>
      <c r="U24" s="8"/>
      <c r="V24" s="8"/>
      <c r="W24" s="8"/>
      <c r="X24" s="8"/>
      <c r="Y24" s="8"/>
      <c r="Z24" s="8"/>
      <c r="AA24" s="8"/>
      <c r="AB24" s="8"/>
    </row>
    <row r="25" spans="1:28" ht="90.75" customHeight="1" x14ac:dyDescent="0.25">
      <c r="A25" s="9">
        <v>25</v>
      </c>
      <c r="B25" s="32" t="s">
        <v>162</v>
      </c>
      <c r="C25" s="25"/>
      <c r="D25" s="9">
        <v>200</v>
      </c>
      <c r="E25" s="9" t="s">
        <v>20</v>
      </c>
      <c r="F25" s="33" t="s">
        <v>163</v>
      </c>
      <c r="G25" s="33" t="s">
        <v>164</v>
      </c>
      <c r="H25" s="33" t="s">
        <v>165</v>
      </c>
      <c r="I25" s="34" t="s">
        <v>166</v>
      </c>
      <c r="J25" s="34" t="s">
        <v>166</v>
      </c>
      <c r="K25" s="35"/>
      <c r="L25" s="35"/>
      <c r="M25" s="33" t="s">
        <v>167</v>
      </c>
      <c r="N25" s="15" t="s">
        <v>168</v>
      </c>
      <c r="O25" s="23"/>
      <c r="P25" s="7" t="s">
        <v>169</v>
      </c>
      <c r="Q25" s="15" t="s">
        <v>170</v>
      </c>
      <c r="R25" s="15"/>
      <c r="S25" s="8"/>
      <c r="T25" s="8"/>
      <c r="U25" s="8"/>
      <c r="V25" s="8"/>
      <c r="W25" s="8"/>
      <c r="X25" s="8"/>
      <c r="Y25" s="8"/>
      <c r="Z25" s="8"/>
      <c r="AA25" s="8"/>
      <c r="AB25" s="8"/>
    </row>
    <row r="26" spans="1:28" ht="90.75" customHeight="1" x14ac:dyDescent="0.25">
      <c r="A26" s="19">
        <v>26</v>
      </c>
      <c r="B26" s="32" t="s">
        <v>162</v>
      </c>
      <c r="C26" s="25"/>
      <c r="D26" s="9">
        <v>200</v>
      </c>
      <c r="E26" s="9" t="s">
        <v>20</v>
      </c>
      <c r="F26" s="33" t="s">
        <v>163</v>
      </c>
      <c r="G26" s="33" t="s">
        <v>171</v>
      </c>
      <c r="H26" s="33" t="s">
        <v>172</v>
      </c>
      <c r="I26" s="34" t="s">
        <v>166</v>
      </c>
      <c r="J26" s="34" t="s">
        <v>166</v>
      </c>
      <c r="K26" s="35"/>
      <c r="L26" s="35"/>
      <c r="M26" s="33" t="s">
        <v>167</v>
      </c>
      <c r="N26" s="15" t="s">
        <v>173</v>
      </c>
      <c r="O26" s="23"/>
      <c r="P26" s="7" t="s">
        <v>174</v>
      </c>
      <c r="Q26" s="15" t="s">
        <v>175</v>
      </c>
      <c r="R26" s="15"/>
      <c r="S26" s="8"/>
      <c r="T26" s="8"/>
      <c r="U26" s="8"/>
      <c r="V26" s="8"/>
      <c r="W26" s="8"/>
      <c r="X26" s="8"/>
      <c r="Y26" s="8"/>
      <c r="Z26" s="8"/>
      <c r="AA26" s="8"/>
      <c r="AB26" s="8"/>
    </row>
    <row r="27" spans="1:28" ht="90.75" customHeight="1" x14ac:dyDescent="0.25">
      <c r="A27" s="17">
        <v>27</v>
      </c>
      <c r="B27" s="32" t="s">
        <v>162</v>
      </c>
      <c r="C27" s="25"/>
      <c r="D27" s="9">
        <v>200</v>
      </c>
      <c r="E27" s="9" t="s">
        <v>20</v>
      </c>
      <c r="F27" s="33" t="s">
        <v>163</v>
      </c>
      <c r="G27" s="33" t="s">
        <v>176</v>
      </c>
      <c r="H27" s="33" t="s">
        <v>165</v>
      </c>
      <c r="I27" s="34" t="s">
        <v>166</v>
      </c>
      <c r="J27" s="34" t="s">
        <v>166</v>
      </c>
      <c r="K27" s="35"/>
      <c r="L27" s="35"/>
      <c r="M27" s="33" t="s">
        <v>167</v>
      </c>
      <c r="N27" s="15" t="s">
        <v>177</v>
      </c>
      <c r="O27" s="23"/>
      <c r="P27" s="7" t="s">
        <v>178</v>
      </c>
      <c r="Q27" s="15" t="s">
        <v>179</v>
      </c>
      <c r="R27" s="15"/>
      <c r="S27" s="8"/>
      <c r="T27" s="8"/>
      <c r="U27" s="8"/>
      <c r="V27" s="8"/>
      <c r="W27" s="8"/>
      <c r="X27" s="8"/>
      <c r="Y27" s="8"/>
      <c r="Z27" s="8"/>
      <c r="AA27" s="8"/>
      <c r="AB27" s="8"/>
    </row>
    <row r="28" spans="1:28" ht="90.75" customHeight="1" x14ac:dyDescent="0.25">
      <c r="A28" s="9">
        <v>28</v>
      </c>
      <c r="B28" s="32" t="s">
        <v>162</v>
      </c>
      <c r="C28" s="25"/>
      <c r="D28" s="9">
        <v>200</v>
      </c>
      <c r="E28" s="9" t="s">
        <v>20</v>
      </c>
      <c r="F28" s="33" t="s">
        <v>163</v>
      </c>
      <c r="G28" s="33" t="s">
        <v>180</v>
      </c>
      <c r="H28" s="33" t="s">
        <v>172</v>
      </c>
      <c r="I28" s="34" t="s">
        <v>166</v>
      </c>
      <c r="J28" s="34" t="s">
        <v>166</v>
      </c>
      <c r="K28" s="35"/>
      <c r="L28" s="35"/>
      <c r="M28" s="33" t="s">
        <v>167</v>
      </c>
      <c r="N28" s="15" t="s">
        <v>181</v>
      </c>
      <c r="O28" s="23"/>
      <c r="P28" s="7" t="s">
        <v>182</v>
      </c>
      <c r="Q28" s="15" t="s">
        <v>183</v>
      </c>
      <c r="R28" s="15"/>
      <c r="S28" s="8"/>
      <c r="T28" s="8"/>
      <c r="U28" s="8"/>
      <c r="V28" s="8"/>
      <c r="W28" s="8"/>
      <c r="X28" s="8"/>
      <c r="Y28" s="8"/>
      <c r="Z28" s="8"/>
      <c r="AA28" s="8"/>
      <c r="AB28" s="8"/>
    </row>
    <row r="29" spans="1:28" ht="90.75" customHeight="1" x14ac:dyDescent="0.25">
      <c r="A29" s="9">
        <v>29</v>
      </c>
      <c r="B29" s="25" t="s">
        <v>184</v>
      </c>
      <c r="C29" s="25"/>
      <c r="D29" s="9">
        <v>1</v>
      </c>
      <c r="E29" s="9" t="s">
        <v>185</v>
      </c>
      <c r="F29" s="33" t="s">
        <v>186</v>
      </c>
      <c r="G29" s="33" t="s">
        <v>187</v>
      </c>
      <c r="H29" s="33" t="s">
        <v>188</v>
      </c>
      <c r="I29" s="34" t="s">
        <v>189</v>
      </c>
      <c r="J29" s="34" t="s">
        <v>190</v>
      </c>
      <c r="K29" s="35"/>
      <c r="L29" s="35"/>
      <c r="M29" s="33" t="s">
        <v>191</v>
      </c>
      <c r="N29" s="15" t="s">
        <v>192</v>
      </c>
      <c r="O29" s="23"/>
      <c r="P29" s="7" t="s">
        <v>193</v>
      </c>
      <c r="Q29" s="15" t="s">
        <v>194</v>
      </c>
      <c r="R29" s="15"/>
      <c r="S29" s="8"/>
      <c r="T29" s="8"/>
      <c r="U29" s="8"/>
      <c r="V29" s="8"/>
      <c r="W29" s="8"/>
      <c r="X29" s="8"/>
      <c r="Y29" s="8"/>
      <c r="Z29" s="8"/>
      <c r="AA29" s="8"/>
      <c r="AB29" s="8"/>
    </row>
    <row r="30" spans="1:28" ht="90.75" customHeight="1" x14ac:dyDescent="0.25">
      <c r="A30" s="9">
        <v>30</v>
      </c>
      <c r="B30" s="25" t="s">
        <v>184</v>
      </c>
      <c r="C30" s="25"/>
      <c r="D30" s="9">
        <v>1</v>
      </c>
      <c r="E30" s="9" t="s">
        <v>185</v>
      </c>
      <c r="F30" s="33" t="s">
        <v>186</v>
      </c>
      <c r="G30" s="33" t="s">
        <v>195</v>
      </c>
      <c r="H30" s="33" t="s">
        <v>188</v>
      </c>
      <c r="I30" s="34" t="s">
        <v>189</v>
      </c>
      <c r="J30" s="34" t="s">
        <v>190</v>
      </c>
      <c r="K30" s="35"/>
      <c r="L30" s="35"/>
      <c r="M30" s="33" t="s">
        <v>191</v>
      </c>
      <c r="N30" s="15" t="s">
        <v>192</v>
      </c>
      <c r="O30" s="23"/>
      <c r="P30" s="7" t="s">
        <v>196</v>
      </c>
      <c r="Q30" s="15" t="s">
        <v>194</v>
      </c>
      <c r="R30" s="15"/>
      <c r="S30" s="8"/>
      <c r="T30" s="8"/>
      <c r="U30" s="8"/>
      <c r="V30" s="8"/>
      <c r="W30" s="8"/>
      <c r="X30" s="8"/>
      <c r="Y30" s="8"/>
      <c r="Z30" s="8"/>
      <c r="AA30" s="8"/>
      <c r="AB30" s="8"/>
    </row>
    <row r="31" spans="1:28" ht="90.75" customHeight="1" x14ac:dyDescent="0.25">
      <c r="A31" s="9">
        <v>31</v>
      </c>
      <c r="B31" s="25" t="s">
        <v>184</v>
      </c>
      <c r="C31" s="25"/>
      <c r="D31" s="9">
        <v>1</v>
      </c>
      <c r="E31" s="9" t="s">
        <v>185</v>
      </c>
      <c r="F31" s="33" t="s">
        <v>186</v>
      </c>
      <c r="G31" s="33" t="s">
        <v>197</v>
      </c>
      <c r="H31" s="33" t="s">
        <v>188</v>
      </c>
      <c r="I31" s="34" t="s">
        <v>189</v>
      </c>
      <c r="J31" s="34" t="s">
        <v>190</v>
      </c>
      <c r="K31" s="35"/>
      <c r="L31" s="35"/>
      <c r="M31" s="33" t="s">
        <v>191</v>
      </c>
      <c r="N31" s="15" t="s">
        <v>192</v>
      </c>
      <c r="O31" s="23"/>
      <c r="P31" s="7" t="s">
        <v>198</v>
      </c>
      <c r="Q31" s="15" t="s">
        <v>194</v>
      </c>
      <c r="R31" s="15"/>
      <c r="S31" s="8"/>
      <c r="T31" s="8"/>
      <c r="U31" s="8"/>
      <c r="V31" s="8"/>
      <c r="W31" s="8"/>
      <c r="X31" s="8"/>
      <c r="Y31" s="8"/>
      <c r="Z31" s="8"/>
      <c r="AA31" s="8"/>
      <c r="AB31" s="8"/>
    </row>
    <row r="32" spans="1:28" ht="90.75" customHeight="1" x14ac:dyDescent="0.25">
      <c r="A32" s="17">
        <v>32</v>
      </c>
      <c r="B32" s="25" t="s">
        <v>184</v>
      </c>
      <c r="C32" s="25"/>
      <c r="D32" s="12">
        <v>1</v>
      </c>
      <c r="E32" s="12" t="s">
        <v>185</v>
      </c>
      <c r="F32" s="11" t="s">
        <v>199</v>
      </c>
      <c r="G32" s="11" t="s">
        <v>200</v>
      </c>
      <c r="H32" s="11" t="s">
        <v>201</v>
      </c>
      <c r="I32" s="11" t="s">
        <v>202</v>
      </c>
      <c r="J32" s="29" t="s">
        <v>199</v>
      </c>
      <c r="K32" s="35"/>
      <c r="L32" s="35"/>
      <c r="M32" s="11" t="s">
        <v>203</v>
      </c>
      <c r="N32" s="15" t="s">
        <v>204</v>
      </c>
      <c r="O32" s="23"/>
      <c r="P32" s="7" t="s">
        <v>205</v>
      </c>
      <c r="Q32" s="15" t="s">
        <v>206</v>
      </c>
      <c r="R32" s="15"/>
      <c r="S32" s="8"/>
      <c r="T32" s="8"/>
      <c r="U32" s="8"/>
      <c r="V32" s="8"/>
      <c r="W32" s="8"/>
      <c r="X32" s="8"/>
      <c r="Y32" s="8"/>
      <c r="Z32" s="8"/>
      <c r="AA32" s="8"/>
      <c r="AB32" s="8"/>
    </row>
    <row r="33" spans="1:28" ht="90.75" customHeight="1" x14ac:dyDescent="0.25">
      <c r="A33" s="9">
        <v>33</v>
      </c>
      <c r="B33" s="25" t="s">
        <v>184</v>
      </c>
      <c r="C33" s="25"/>
      <c r="D33" s="12">
        <v>1</v>
      </c>
      <c r="E33" s="12" t="s">
        <v>185</v>
      </c>
      <c r="F33" s="11" t="s">
        <v>199</v>
      </c>
      <c r="G33" s="11" t="s">
        <v>207</v>
      </c>
      <c r="H33" s="11" t="s">
        <v>201</v>
      </c>
      <c r="I33" s="11" t="s">
        <v>202</v>
      </c>
      <c r="J33" s="29" t="s">
        <v>199</v>
      </c>
      <c r="K33" s="35"/>
      <c r="L33" s="35"/>
      <c r="M33" s="11" t="s">
        <v>203</v>
      </c>
      <c r="N33" s="15" t="s">
        <v>204</v>
      </c>
      <c r="O33" s="23"/>
      <c r="P33" s="7" t="s">
        <v>208</v>
      </c>
      <c r="Q33" s="15" t="s">
        <v>206</v>
      </c>
      <c r="R33" s="15"/>
      <c r="S33" s="8"/>
      <c r="T33" s="8"/>
      <c r="U33" s="8"/>
      <c r="V33" s="8"/>
      <c r="W33" s="8"/>
      <c r="X33" s="8"/>
      <c r="Y33" s="8"/>
      <c r="Z33" s="8"/>
      <c r="AA33" s="8"/>
      <c r="AB33" s="8"/>
    </row>
    <row r="34" spans="1:28" ht="90.75" customHeight="1" x14ac:dyDescent="0.25">
      <c r="A34" s="9">
        <v>34</v>
      </c>
      <c r="B34" s="25" t="s">
        <v>184</v>
      </c>
      <c r="C34" s="25"/>
      <c r="D34" s="12">
        <v>1</v>
      </c>
      <c r="E34" s="12" t="s">
        <v>185</v>
      </c>
      <c r="F34" s="11" t="s">
        <v>199</v>
      </c>
      <c r="G34" s="11" t="s">
        <v>209</v>
      </c>
      <c r="H34" s="11" t="s">
        <v>201</v>
      </c>
      <c r="I34" s="11" t="s">
        <v>202</v>
      </c>
      <c r="J34" s="29" t="s">
        <v>199</v>
      </c>
      <c r="K34" s="35"/>
      <c r="L34" s="35"/>
      <c r="M34" s="11" t="s">
        <v>203</v>
      </c>
      <c r="N34" s="15" t="s">
        <v>204</v>
      </c>
      <c r="O34" s="23"/>
      <c r="P34" s="7" t="s">
        <v>210</v>
      </c>
      <c r="Q34" s="15" t="s">
        <v>206</v>
      </c>
      <c r="R34" s="15"/>
      <c r="S34" s="8"/>
      <c r="T34" s="8"/>
      <c r="U34" s="8"/>
      <c r="V34" s="8"/>
      <c r="W34" s="8"/>
      <c r="X34" s="8"/>
      <c r="Y34" s="8"/>
      <c r="Z34" s="8"/>
      <c r="AA34" s="8"/>
      <c r="AB34" s="8"/>
    </row>
    <row r="35" spans="1:28" ht="90.75" customHeight="1" x14ac:dyDescent="0.25">
      <c r="A35" s="9">
        <v>35</v>
      </c>
      <c r="B35" s="25" t="s">
        <v>184</v>
      </c>
      <c r="C35" s="25"/>
      <c r="D35" s="12">
        <v>1</v>
      </c>
      <c r="E35" s="12" t="s">
        <v>153</v>
      </c>
      <c r="F35" s="11" t="s">
        <v>211</v>
      </c>
      <c r="G35" s="11" t="s">
        <v>212</v>
      </c>
      <c r="H35" s="11" t="s">
        <v>213</v>
      </c>
      <c r="I35" s="11" t="s">
        <v>214</v>
      </c>
      <c r="J35" s="29" t="s">
        <v>215</v>
      </c>
      <c r="K35" s="35"/>
      <c r="L35" s="35"/>
      <c r="M35" s="11" t="s">
        <v>216</v>
      </c>
      <c r="N35" s="15" t="s">
        <v>217</v>
      </c>
      <c r="O35" s="23"/>
      <c r="P35" s="7" t="s">
        <v>218</v>
      </c>
      <c r="Q35" s="15" t="s">
        <v>219</v>
      </c>
      <c r="R35" s="15"/>
      <c r="S35" s="8"/>
      <c r="T35" s="8"/>
      <c r="U35" s="8"/>
      <c r="V35" s="8"/>
      <c r="W35" s="8"/>
      <c r="X35" s="8"/>
      <c r="Y35" s="8"/>
      <c r="Z35" s="8"/>
      <c r="AA35" s="8"/>
      <c r="AB35" s="8"/>
    </row>
    <row r="36" spans="1:28" ht="90.75" customHeight="1" x14ac:dyDescent="0.25">
      <c r="A36" s="19">
        <v>36</v>
      </c>
      <c r="B36" s="25" t="s">
        <v>184</v>
      </c>
      <c r="C36" s="25"/>
      <c r="D36" s="12">
        <v>1</v>
      </c>
      <c r="E36" s="12" t="s">
        <v>153</v>
      </c>
      <c r="F36" s="11" t="s">
        <v>211</v>
      </c>
      <c r="G36" s="11" t="s">
        <v>220</v>
      </c>
      <c r="H36" s="11" t="s">
        <v>213</v>
      </c>
      <c r="I36" s="11" t="s">
        <v>214</v>
      </c>
      <c r="J36" s="29" t="s">
        <v>215</v>
      </c>
      <c r="K36" s="35"/>
      <c r="L36" s="35"/>
      <c r="M36" s="11" t="s">
        <v>216</v>
      </c>
      <c r="N36" s="15" t="s">
        <v>217</v>
      </c>
      <c r="O36" s="23"/>
      <c r="P36" s="7" t="s">
        <v>221</v>
      </c>
      <c r="Q36" s="15" t="s">
        <v>219</v>
      </c>
      <c r="R36" s="15"/>
      <c r="S36" s="8"/>
      <c r="T36" s="8"/>
      <c r="U36" s="8"/>
      <c r="V36" s="8"/>
      <c r="W36" s="8"/>
      <c r="X36" s="8"/>
      <c r="Y36" s="8"/>
      <c r="Z36" s="8"/>
      <c r="AA36" s="8"/>
      <c r="AB36" s="8"/>
    </row>
    <row r="37" spans="1:28" ht="90.75" customHeight="1" x14ac:dyDescent="0.25">
      <c r="A37" s="17">
        <v>37</v>
      </c>
      <c r="B37" s="25" t="s">
        <v>184</v>
      </c>
      <c r="C37" s="25"/>
      <c r="D37" s="12"/>
      <c r="E37" s="12"/>
      <c r="F37" s="11" t="s">
        <v>211</v>
      </c>
      <c r="G37" s="11" t="s">
        <v>222</v>
      </c>
      <c r="H37" s="11" t="s">
        <v>213</v>
      </c>
      <c r="I37" s="11" t="s">
        <v>214</v>
      </c>
      <c r="J37" s="29" t="s">
        <v>215</v>
      </c>
      <c r="K37" s="35"/>
      <c r="L37" s="35"/>
      <c r="M37" s="11" t="s">
        <v>216</v>
      </c>
      <c r="N37" s="15" t="s">
        <v>217</v>
      </c>
      <c r="O37" s="23"/>
      <c r="P37" s="7" t="s">
        <v>223</v>
      </c>
      <c r="Q37" s="15" t="s">
        <v>219</v>
      </c>
      <c r="R37" s="15"/>
      <c r="S37" s="8"/>
      <c r="T37" s="8"/>
      <c r="U37" s="8"/>
      <c r="V37" s="8"/>
      <c r="W37" s="8"/>
      <c r="X37" s="8"/>
      <c r="Y37" s="8"/>
      <c r="Z37" s="8"/>
      <c r="AA37" s="8"/>
      <c r="AB37" s="8"/>
    </row>
    <row r="38" spans="1:28" ht="90.75" customHeight="1" x14ac:dyDescent="0.25">
      <c r="A38" s="9">
        <v>38</v>
      </c>
      <c r="B38" s="25" t="s">
        <v>184</v>
      </c>
      <c r="C38" s="25"/>
      <c r="D38" s="12">
        <v>1</v>
      </c>
      <c r="E38" s="12" t="s">
        <v>185</v>
      </c>
      <c r="F38" s="11" t="s">
        <v>224</v>
      </c>
      <c r="G38" s="11" t="s">
        <v>225</v>
      </c>
      <c r="H38" s="11" t="s">
        <v>201</v>
      </c>
      <c r="I38" s="11" t="s">
        <v>224</v>
      </c>
      <c r="J38" s="29" t="s">
        <v>226</v>
      </c>
      <c r="K38" s="35">
        <v>81067373</v>
      </c>
      <c r="L38" s="35">
        <v>15402801</v>
      </c>
      <c r="M38" s="11" t="s">
        <v>203</v>
      </c>
      <c r="N38" s="15" t="s">
        <v>227</v>
      </c>
      <c r="O38" s="23"/>
      <c r="P38" s="7" t="s">
        <v>228</v>
      </c>
      <c r="Q38" s="15" t="s">
        <v>229</v>
      </c>
      <c r="R38" s="15"/>
      <c r="S38" s="8"/>
      <c r="T38" s="8"/>
      <c r="U38" s="8"/>
      <c r="V38" s="8"/>
      <c r="W38" s="8"/>
      <c r="X38" s="8"/>
      <c r="Y38" s="8"/>
      <c r="Z38" s="8"/>
      <c r="AA38" s="8"/>
      <c r="AB38" s="8"/>
    </row>
    <row r="39" spans="1:28" ht="90.75" customHeight="1" x14ac:dyDescent="0.25">
      <c r="A39" s="9">
        <v>39</v>
      </c>
      <c r="B39" s="25" t="s">
        <v>230</v>
      </c>
      <c r="C39" s="25"/>
      <c r="D39" s="12">
        <v>2</v>
      </c>
      <c r="E39" s="12" t="s">
        <v>20</v>
      </c>
      <c r="F39" s="11" t="s">
        <v>231</v>
      </c>
      <c r="G39" s="11" t="s">
        <v>232</v>
      </c>
      <c r="H39" s="11" t="s">
        <v>233</v>
      </c>
      <c r="I39" s="11" t="s">
        <v>234</v>
      </c>
      <c r="J39" s="29" t="s">
        <v>235</v>
      </c>
      <c r="K39" s="35"/>
      <c r="L39" s="35"/>
      <c r="M39" s="11" t="s">
        <v>236</v>
      </c>
      <c r="N39" s="15" t="s">
        <v>237</v>
      </c>
      <c r="O39" s="23"/>
      <c r="P39" s="7" t="s">
        <v>238</v>
      </c>
      <c r="Q39" s="15" t="s">
        <v>239</v>
      </c>
      <c r="R39" s="15"/>
      <c r="S39" s="8"/>
      <c r="T39" s="8"/>
      <c r="U39" s="8"/>
      <c r="V39" s="8"/>
      <c r="W39" s="8"/>
      <c r="X39" s="8"/>
      <c r="Y39" s="8"/>
      <c r="Z39" s="8"/>
      <c r="AA39" s="8"/>
      <c r="AB39" s="8"/>
    </row>
    <row r="40" spans="1:28" ht="90.75" customHeight="1" x14ac:dyDescent="0.25">
      <c r="A40" s="9">
        <v>40</v>
      </c>
      <c r="B40" s="25" t="s">
        <v>240</v>
      </c>
      <c r="C40" s="25"/>
      <c r="D40" s="12"/>
      <c r="E40" s="12" t="s">
        <v>134</v>
      </c>
      <c r="F40" s="11" t="s">
        <v>241</v>
      </c>
      <c r="G40" s="11" t="s">
        <v>242</v>
      </c>
      <c r="H40" s="11" t="s">
        <v>243</v>
      </c>
      <c r="I40" s="11" t="s">
        <v>241</v>
      </c>
      <c r="J40" s="29"/>
      <c r="K40" s="35"/>
      <c r="L40" s="35"/>
      <c r="M40" s="11" t="s">
        <v>244</v>
      </c>
      <c r="N40" s="15" t="s">
        <v>245</v>
      </c>
      <c r="O40" s="23"/>
      <c r="P40" s="7" t="s">
        <v>246</v>
      </c>
      <c r="Q40" s="15" t="s">
        <v>247</v>
      </c>
      <c r="R40" s="15"/>
      <c r="S40" s="8"/>
      <c r="T40" s="8"/>
      <c r="U40" s="8"/>
      <c r="V40" s="8"/>
      <c r="W40" s="8"/>
      <c r="X40" s="8"/>
      <c r="Y40" s="8"/>
      <c r="Z40" s="8"/>
      <c r="AA40" s="8"/>
      <c r="AB40" s="8"/>
    </row>
    <row r="41" spans="1:28" ht="90.75" customHeight="1" x14ac:dyDescent="0.25">
      <c r="A41" s="9">
        <v>41</v>
      </c>
      <c r="B41" s="25" t="s">
        <v>240</v>
      </c>
      <c r="C41" s="25"/>
      <c r="D41" s="12"/>
      <c r="E41" s="12" t="s">
        <v>134</v>
      </c>
      <c r="F41" s="11" t="s">
        <v>241</v>
      </c>
      <c r="G41" s="11" t="s">
        <v>248</v>
      </c>
      <c r="H41" s="11" t="s">
        <v>243</v>
      </c>
      <c r="I41" s="11" t="s">
        <v>249</v>
      </c>
      <c r="J41" s="29"/>
      <c r="K41" s="35"/>
      <c r="L41" s="35"/>
      <c r="M41" s="11" t="s">
        <v>244</v>
      </c>
      <c r="N41" s="15" t="s">
        <v>245</v>
      </c>
      <c r="O41" s="23"/>
      <c r="P41" s="7" t="s">
        <v>250</v>
      </c>
      <c r="Q41" s="15" t="s">
        <v>247</v>
      </c>
      <c r="R41" s="15"/>
      <c r="S41" s="8"/>
      <c r="T41" s="8"/>
      <c r="U41" s="8"/>
      <c r="V41" s="8"/>
      <c r="W41" s="8"/>
      <c r="X41" s="8"/>
      <c r="Y41" s="8"/>
      <c r="Z41" s="8"/>
      <c r="AA41" s="8"/>
      <c r="AB41" s="8"/>
    </row>
    <row r="42" spans="1:28" ht="90.75" customHeight="1" x14ac:dyDescent="0.25">
      <c r="A42" s="17">
        <v>42</v>
      </c>
      <c r="B42" s="25" t="s">
        <v>251</v>
      </c>
      <c r="C42" s="25"/>
      <c r="D42" s="12">
        <v>3</v>
      </c>
      <c r="E42" s="12" t="s">
        <v>20</v>
      </c>
      <c r="F42" s="11" t="s">
        <v>252</v>
      </c>
      <c r="G42" s="11" t="s">
        <v>253</v>
      </c>
      <c r="H42" s="11" t="s">
        <v>254</v>
      </c>
      <c r="I42" s="11" t="s">
        <v>255</v>
      </c>
      <c r="J42" s="29" t="s">
        <v>256</v>
      </c>
      <c r="K42" s="35" t="s">
        <v>257</v>
      </c>
      <c r="L42" s="35" t="s">
        <v>258</v>
      </c>
      <c r="M42" s="11" t="s">
        <v>259</v>
      </c>
      <c r="N42" s="15" t="s">
        <v>260</v>
      </c>
      <c r="O42" s="36" t="s">
        <v>260</v>
      </c>
      <c r="P42" s="7" t="s">
        <v>261</v>
      </c>
      <c r="Q42" s="15" t="s">
        <v>262</v>
      </c>
      <c r="R42" s="15" t="s">
        <v>263</v>
      </c>
      <c r="S42" s="8"/>
      <c r="T42" s="8"/>
      <c r="U42" s="8"/>
      <c r="V42" s="8"/>
      <c r="W42" s="8"/>
      <c r="X42" s="8"/>
      <c r="Y42" s="8"/>
      <c r="Z42" s="8"/>
      <c r="AA42" s="8"/>
      <c r="AB42" s="8"/>
    </row>
    <row r="43" spans="1:28" ht="90.75" customHeight="1" x14ac:dyDescent="0.25">
      <c r="A43" s="9">
        <v>43</v>
      </c>
      <c r="B43" s="25" t="s">
        <v>251</v>
      </c>
      <c r="C43" s="25"/>
      <c r="D43" s="12">
        <v>3</v>
      </c>
      <c r="E43" s="12" t="s">
        <v>20</v>
      </c>
      <c r="F43" s="11" t="s">
        <v>252</v>
      </c>
      <c r="G43" s="11" t="s">
        <v>264</v>
      </c>
      <c r="H43" s="11" t="s">
        <v>265</v>
      </c>
      <c r="I43" s="11" t="s">
        <v>255</v>
      </c>
      <c r="J43" s="29" t="s">
        <v>266</v>
      </c>
      <c r="K43" s="35" t="s">
        <v>267</v>
      </c>
      <c r="L43" s="35" t="s">
        <v>268</v>
      </c>
      <c r="M43" s="11" t="s">
        <v>269</v>
      </c>
      <c r="N43" s="15" t="s">
        <v>270</v>
      </c>
      <c r="O43" s="36"/>
      <c r="P43" s="7" t="s">
        <v>271</v>
      </c>
      <c r="Q43" s="15" t="s">
        <v>272</v>
      </c>
      <c r="R43" s="15"/>
      <c r="S43" s="8"/>
      <c r="T43" s="8"/>
      <c r="U43" s="8"/>
      <c r="V43" s="8"/>
      <c r="W43" s="8"/>
      <c r="X43" s="8"/>
      <c r="Y43" s="8"/>
      <c r="Z43" s="8"/>
      <c r="AA43" s="8"/>
      <c r="AB43" s="8"/>
    </row>
    <row r="44" spans="1:28" ht="90.75" customHeight="1" x14ac:dyDescent="0.25">
      <c r="A44" s="9">
        <v>44</v>
      </c>
      <c r="B44" s="25" t="s">
        <v>251</v>
      </c>
      <c r="C44" s="25"/>
      <c r="D44" s="12">
        <v>5</v>
      </c>
      <c r="E44" s="12" t="s">
        <v>20</v>
      </c>
      <c r="F44" s="11" t="s">
        <v>273</v>
      </c>
      <c r="G44" s="11" t="s">
        <v>274</v>
      </c>
      <c r="H44" s="11" t="s">
        <v>275</v>
      </c>
      <c r="I44" s="11" t="s">
        <v>276</v>
      </c>
      <c r="J44" s="29" t="s">
        <v>276</v>
      </c>
      <c r="K44" s="35"/>
      <c r="L44" s="35"/>
      <c r="M44" s="11" t="s">
        <v>259</v>
      </c>
      <c r="N44" s="15" t="s">
        <v>277</v>
      </c>
      <c r="O44" s="23"/>
      <c r="P44" s="7" t="s">
        <v>278</v>
      </c>
      <c r="Q44" s="15" t="s">
        <v>279</v>
      </c>
      <c r="R44" s="15"/>
      <c r="S44" s="8"/>
      <c r="T44" s="8"/>
      <c r="U44" s="8"/>
      <c r="V44" s="8"/>
      <c r="W44" s="8"/>
      <c r="X44" s="8"/>
      <c r="Y44" s="8"/>
      <c r="Z44" s="8"/>
      <c r="AA44" s="8"/>
      <c r="AB44" s="8"/>
    </row>
    <row r="45" spans="1:28" ht="90.75" customHeight="1" x14ac:dyDescent="0.25">
      <c r="A45" s="9">
        <v>45</v>
      </c>
      <c r="B45" s="25" t="s">
        <v>251</v>
      </c>
      <c r="C45" s="25"/>
      <c r="D45" s="12">
        <v>3</v>
      </c>
      <c r="E45" s="12" t="s">
        <v>20</v>
      </c>
      <c r="F45" s="11" t="s">
        <v>280</v>
      </c>
      <c r="G45" s="11" t="s">
        <v>281</v>
      </c>
      <c r="H45" s="11" t="s">
        <v>275</v>
      </c>
      <c r="I45" s="11" t="s">
        <v>280</v>
      </c>
      <c r="J45" s="29" t="s">
        <v>282</v>
      </c>
      <c r="K45" s="35"/>
      <c r="L45" s="35"/>
      <c r="M45" s="11" t="s">
        <v>259</v>
      </c>
      <c r="N45" s="15" t="s">
        <v>283</v>
      </c>
      <c r="O45" s="23"/>
      <c r="P45" s="7" t="s">
        <v>284</v>
      </c>
      <c r="Q45" s="15" t="s">
        <v>285</v>
      </c>
      <c r="R45" s="15"/>
      <c r="S45" s="8"/>
      <c r="T45" s="8"/>
      <c r="U45" s="8"/>
      <c r="V45" s="8"/>
      <c r="W45" s="8"/>
      <c r="X45" s="8"/>
      <c r="Y45" s="8"/>
      <c r="Z45" s="8"/>
      <c r="AA45" s="8"/>
      <c r="AB45" s="8"/>
    </row>
    <row r="46" spans="1:28" ht="90.75" customHeight="1" x14ac:dyDescent="0.25">
      <c r="A46" s="19">
        <v>46</v>
      </c>
      <c r="B46" s="25" t="s">
        <v>251</v>
      </c>
      <c r="C46" s="25"/>
      <c r="D46" s="12">
        <v>3</v>
      </c>
      <c r="E46" s="12" t="s">
        <v>134</v>
      </c>
      <c r="F46" s="11" t="s">
        <v>280</v>
      </c>
      <c r="G46" s="11" t="s">
        <v>286</v>
      </c>
      <c r="H46" s="11" t="s">
        <v>287</v>
      </c>
      <c r="I46" s="11" t="s">
        <v>280</v>
      </c>
      <c r="J46" s="29" t="s">
        <v>282</v>
      </c>
      <c r="K46" s="35"/>
      <c r="L46" s="35"/>
      <c r="M46" s="11" t="s">
        <v>269</v>
      </c>
      <c r="N46" s="15" t="s">
        <v>288</v>
      </c>
      <c r="O46" s="23"/>
      <c r="P46" s="7" t="s">
        <v>289</v>
      </c>
      <c r="Q46" s="15" t="s">
        <v>290</v>
      </c>
      <c r="R46" s="15"/>
      <c r="S46" s="8"/>
      <c r="T46" s="8"/>
      <c r="U46" s="8"/>
      <c r="V46" s="8"/>
      <c r="W46" s="8"/>
      <c r="X46" s="8"/>
      <c r="Y46" s="8"/>
      <c r="Z46" s="8"/>
      <c r="AA46" s="8"/>
      <c r="AB46" s="8"/>
    </row>
    <row r="47" spans="1:28" ht="90.75" customHeight="1" x14ac:dyDescent="0.25">
      <c r="A47" s="17">
        <v>47</v>
      </c>
      <c r="B47" s="25" t="s">
        <v>251</v>
      </c>
      <c r="C47" s="25"/>
      <c r="D47" s="12">
        <v>5</v>
      </c>
      <c r="E47" s="12" t="s">
        <v>20</v>
      </c>
      <c r="F47" s="11" t="s">
        <v>273</v>
      </c>
      <c r="G47" s="11" t="s">
        <v>291</v>
      </c>
      <c r="H47" s="11" t="s">
        <v>287</v>
      </c>
      <c r="I47" s="11" t="s">
        <v>276</v>
      </c>
      <c r="J47" s="29" t="s">
        <v>276</v>
      </c>
      <c r="K47" s="35"/>
      <c r="L47" s="35"/>
      <c r="M47" s="11" t="s">
        <v>269</v>
      </c>
      <c r="N47" s="15" t="s">
        <v>277</v>
      </c>
      <c r="O47" s="23"/>
      <c r="P47" s="7" t="s">
        <v>292</v>
      </c>
      <c r="Q47" s="15" t="s">
        <v>279</v>
      </c>
      <c r="R47" s="15"/>
      <c r="S47" s="8"/>
      <c r="T47" s="8"/>
      <c r="U47" s="8"/>
      <c r="V47" s="8"/>
      <c r="W47" s="8"/>
      <c r="X47" s="8"/>
      <c r="Y47" s="8"/>
      <c r="Z47" s="8"/>
      <c r="AA47" s="8"/>
      <c r="AB47" s="8"/>
    </row>
    <row r="48" spans="1:28" ht="90.75" customHeight="1" x14ac:dyDescent="0.25">
      <c r="A48" s="9">
        <v>48</v>
      </c>
      <c r="B48" s="25" t="s">
        <v>293</v>
      </c>
      <c r="C48" s="25"/>
      <c r="D48" s="12">
        <v>1</v>
      </c>
      <c r="E48" s="12" t="s">
        <v>20</v>
      </c>
      <c r="F48" s="11" t="s">
        <v>294</v>
      </c>
      <c r="G48" s="11" t="s">
        <v>295</v>
      </c>
      <c r="H48" s="11" t="s">
        <v>296</v>
      </c>
      <c r="I48" s="37" t="s">
        <v>294</v>
      </c>
      <c r="J48" s="29" t="s">
        <v>297</v>
      </c>
      <c r="K48" s="35"/>
      <c r="L48" s="35"/>
      <c r="M48" s="11" t="s">
        <v>298</v>
      </c>
      <c r="N48" s="15" t="s">
        <v>299</v>
      </c>
      <c r="O48" s="23"/>
      <c r="P48" s="7" t="s">
        <v>300</v>
      </c>
      <c r="Q48" s="15" t="s">
        <v>301</v>
      </c>
      <c r="R48" s="15"/>
      <c r="S48" s="8"/>
      <c r="T48" s="8"/>
      <c r="U48" s="8"/>
      <c r="V48" s="8"/>
      <c r="W48" s="8"/>
      <c r="X48" s="8"/>
      <c r="Y48" s="8"/>
      <c r="Z48" s="8"/>
      <c r="AA48" s="8"/>
      <c r="AB48" s="8"/>
    </row>
    <row r="49" spans="1:28" ht="90.75" customHeight="1" x14ac:dyDescent="0.25">
      <c r="A49" s="9">
        <v>49</v>
      </c>
      <c r="B49" s="25" t="s">
        <v>302</v>
      </c>
      <c r="C49" s="25"/>
      <c r="D49" s="12">
        <v>11000</v>
      </c>
      <c r="E49" s="12" t="s">
        <v>303</v>
      </c>
      <c r="F49" s="11" t="s">
        <v>304</v>
      </c>
      <c r="G49" s="11" t="s">
        <v>305</v>
      </c>
      <c r="H49" s="11" t="s">
        <v>306</v>
      </c>
      <c r="I49" s="29" t="s">
        <v>307</v>
      </c>
      <c r="J49" s="29" t="s">
        <v>308</v>
      </c>
      <c r="K49" s="35"/>
      <c r="L49" s="35"/>
      <c r="M49" s="11" t="s">
        <v>309</v>
      </c>
      <c r="N49" s="15" t="s">
        <v>310</v>
      </c>
      <c r="O49" s="23"/>
      <c r="P49" s="7" t="s">
        <v>311</v>
      </c>
      <c r="Q49" s="15" t="s">
        <v>312</v>
      </c>
      <c r="R49" s="15"/>
      <c r="S49" s="8"/>
      <c r="T49" s="8"/>
      <c r="U49" s="8"/>
      <c r="V49" s="8"/>
      <c r="W49" s="8"/>
      <c r="X49" s="8"/>
      <c r="Y49" s="8"/>
      <c r="Z49" s="8"/>
      <c r="AA49" s="8"/>
      <c r="AB49" s="8"/>
    </row>
    <row r="50" spans="1:28" ht="90.75" customHeight="1" x14ac:dyDescent="0.25">
      <c r="A50" s="9">
        <v>49</v>
      </c>
      <c r="B50" s="25" t="s">
        <v>302</v>
      </c>
      <c r="C50" s="25"/>
      <c r="D50" s="12">
        <v>11000</v>
      </c>
      <c r="E50" s="12" t="s">
        <v>303</v>
      </c>
      <c r="F50" s="11" t="s">
        <v>304</v>
      </c>
      <c r="G50" s="11" t="s">
        <v>305</v>
      </c>
      <c r="H50" s="11" t="s">
        <v>306</v>
      </c>
      <c r="I50" s="29" t="s">
        <v>307</v>
      </c>
      <c r="J50" s="29" t="s">
        <v>313</v>
      </c>
      <c r="K50" s="35"/>
      <c r="L50" s="35"/>
      <c r="M50" s="11" t="s">
        <v>309</v>
      </c>
      <c r="N50" s="15" t="s">
        <v>310</v>
      </c>
      <c r="O50" s="23"/>
      <c r="P50" s="7" t="s">
        <v>311</v>
      </c>
      <c r="Q50" s="15" t="s">
        <v>312</v>
      </c>
      <c r="R50" s="15"/>
      <c r="S50" s="8"/>
      <c r="T50" s="8"/>
      <c r="U50" s="8"/>
      <c r="V50" s="8"/>
      <c r="W50" s="8"/>
      <c r="X50" s="8"/>
      <c r="Y50" s="8"/>
      <c r="Z50" s="8"/>
      <c r="AA50" s="8"/>
      <c r="AB50" s="8"/>
    </row>
    <row r="51" spans="1:28" ht="90.75" customHeight="1" x14ac:dyDescent="0.25">
      <c r="A51" s="9">
        <v>49</v>
      </c>
      <c r="B51" s="25" t="s">
        <v>302</v>
      </c>
      <c r="C51" s="25"/>
      <c r="D51" s="12">
        <v>11000</v>
      </c>
      <c r="E51" s="12" t="s">
        <v>303</v>
      </c>
      <c r="F51" s="11" t="s">
        <v>304</v>
      </c>
      <c r="G51" s="11" t="s">
        <v>305</v>
      </c>
      <c r="H51" s="11" t="s">
        <v>306</v>
      </c>
      <c r="I51" s="29" t="s">
        <v>307</v>
      </c>
      <c r="J51" s="29" t="s">
        <v>307</v>
      </c>
      <c r="K51" s="35"/>
      <c r="L51" s="35"/>
      <c r="M51" s="11" t="s">
        <v>309</v>
      </c>
      <c r="N51" s="15" t="s">
        <v>310</v>
      </c>
      <c r="O51" s="23"/>
      <c r="P51" s="7" t="s">
        <v>311</v>
      </c>
      <c r="Q51" s="15" t="s">
        <v>312</v>
      </c>
      <c r="R51" s="15"/>
      <c r="S51" s="8"/>
      <c r="T51" s="8"/>
      <c r="U51" s="8"/>
      <c r="V51" s="8"/>
      <c r="W51" s="8"/>
      <c r="X51" s="8"/>
      <c r="Y51" s="8"/>
      <c r="Z51" s="8"/>
      <c r="AA51" s="8"/>
      <c r="AB51" s="8"/>
    </row>
    <row r="52" spans="1:28" ht="90.75" customHeight="1" x14ac:dyDescent="0.25">
      <c r="A52" s="9">
        <v>50</v>
      </c>
      <c r="B52" s="25" t="s">
        <v>314</v>
      </c>
      <c r="C52" s="25"/>
      <c r="D52" s="12">
        <v>350</v>
      </c>
      <c r="E52" s="12" t="s">
        <v>303</v>
      </c>
      <c r="F52" s="11" t="s">
        <v>315</v>
      </c>
      <c r="G52" s="11" t="s">
        <v>316</v>
      </c>
      <c r="H52" s="11" t="s">
        <v>317</v>
      </c>
      <c r="I52" s="29" t="s">
        <v>307</v>
      </c>
      <c r="J52" s="29" t="s">
        <v>307</v>
      </c>
      <c r="K52" s="35"/>
      <c r="L52" s="35"/>
      <c r="M52" s="11" t="s">
        <v>318</v>
      </c>
      <c r="N52" s="15" t="s">
        <v>319</v>
      </c>
      <c r="O52" s="23"/>
      <c r="P52" s="7" t="s">
        <v>320</v>
      </c>
      <c r="Q52" s="15" t="s">
        <v>321</v>
      </c>
      <c r="R52" s="15"/>
      <c r="S52" s="8"/>
      <c r="T52" s="8"/>
      <c r="U52" s="8"/>
      <c r="V52" s="8"/>
      <c r="W52" s="8"/>
      <c r="X52" s="8"/>
      <c r="Y52" s="8"/>
      <c r="Z52" s="8"/>
      <c r="AA52" s="8"/>
      <c r="AB52" s="8"/>
    </row>
    <row r="53" spans="1:28" ht="90.75" customHeight="1" x14ac:dyDescent="0.25">
      <c r="A53" s="9">
        <v>51</v>
      </c>
      <c r="B53" s="25" t="s">
        <v>314</v>
      </c>
      <c r="C53" s="25"/>
      <c r="D53" s="12">
        <v>150</v>
      </c>
      <c r="E53" s="12" t="s">
        <v>303</v>
      </c>
      <c r="F53" s="11" t="s">
        <v>315</v>
      </c>
      <c r="G53" s="11" t="s">
        <v>322</v>
      </c>
      <c r="H53" s="11" t="s">
        <v>323</v>
      </c>
      <c r="I53" s="29" t="s">
        <v>307</v>
      </c>
      <c r="J53" s="29" t="s">
        <v>307</v>
      </c>
      <c r="K53" s="35"/>
      <c r="L53" s="35"/>
      <c r="M53" s="11" t="s">
        <v>324</v>
      </c>
      <c r="N53" s="15" t="s">
        <v>319</v>
      </c>
      <c r="O53" s="23"/>
      <c r="P53" s="7" t="s">
        <v>325</v>
      </c>
      <c r="Q53" s="15" t="s">
        <v>321</v>
      </c>
      <c r="R53" s="15"/>
      <c r="S53" s="8"/>
      <c r="T53" s="8"/>
      <c r="U53" s="8"/>
      <c r="V53" s="8"/>
      <c r="W53" s="8"/>
      <c r="X53" s="8"/>
      <c r="Y53" s="8"/>
      <c r="Z53" s="8"/>
      <c r="AA53" s="8"/>
      <c r="AB53" s="8"/>
    </row>
    <row r="54" spans="1:28" ht="90.75" customHeight="1" x14ac:dyDescent="0.25">
      <c r="A54" s="17">
        <v>52</v>
      </c>
      <c r="B54" s="25" t="s">
        <v>314</v>
      </c>
      <c r="C54" s="25"/>
      <c r="D54" s="12">
        <v>200</v>
      </c>
      <c r="E54" s="12" t="s">
        <v>303</v>
      </c>
      <c r="F54" s="11" t="s">
        <v>315</v>
      </c>
      <c r="G54" s="11" t="s">
        <v>326</v>
      </c>
      <c r="H54" s="11" t="s">
        <v>317</v>
      </c>
      <c r="I54" s="29" t="s">
        <v>307</v>
      </c>
      <c r="J54" s="29" t="s">
        <v>307</v>
      </c>
      <c r="K54" s="35"/>
      <c r="L54" s="35"/>
      <c r="M54" s="11" t="s">
        <v>327</v>
      </c>
      <c r="N54" s="15" t="s">
        <v>319</v>
      </c>
      <c r="O54" s="23"/>
      <c r="P54" s="7" t="s">
        <v>328</v>
      </c>
      <c r="Q54" s="15" t="s">
        <v>321</v>
      </c>
      <c r="R54" s="15"/>
      <c r="S54" s="8"/>
      <c r="T54" s="8"/>
      <c r="U54" s="8"/>
      <c r="V54" s="8"/>
      <c r="W54" s="8"/>
      <c r="X54" s="8"/>
      <c r="Y54" s="8"/>
      <c r="Z54" s="8"/>
      <c r="AA54" s="8"/>
      <c r="AB54" s="8"/>
    </row>
    <row r="55" spans="1:28" ht="90.75" customHeight="1" x14ac:dyDescent="0.25">
      <c r="A55" s="9">
        <v>53</v>
      </c>
      <c r="B55" s="25" t="s">
        <v>314</v>
      </c>
      <c r="C55" s="25"/>
      <c r="D55" s="12">
        <v>300</v>
      </c>
      <c r="E55" s="12" t="s">
        <v>303</v>
      </c>
      <c r="F55" s="11" t="s">
        <v>315</v>
      </c>
      <c r="G55" s="11" t="s">
        <v>329</v>
      </c>
      <c r="H55" s="11" t="s">
        <v>330</v>
      </c>
      <c r="I55" s="29" t="s">
        <v>307</v>
      </c>
      <c r="J55" s="29" t="s">
        <v>307</v>
      </c>
      <c r="K55" s="35"/>
      <c r="L55" s="35"/>
      <c r="M55" s="11" t="s">
        <v>331</v>
      </c>
      <c r="N55" s="15" t="s">
        <v>332</v>
      </c>
      <c r="O55" s="23"/>
      <c r="P55" s="7" t="s">
        <v>333</v>
      </c>
      <c r="Q55" s="15" t="s">
        <v>334</v>
      </c>
      <c r="R55" s="15"/>
      <c r="S55" s="8"/>
      <c r="T55" s="8"/>
      <c r="U55" s="8"/>
      <c r="V55" s="8"/>
      <c r="W55" s="8"/>
      <c r="X55" s="8"/>
      <c r="Y55" s="8"/>
      <c r="Z55" s="8"/>
      <c r="AA55" s="8"/>
      <c r="AB55" s="8"/>
    </row>
    <row r="56" spans="1:28" ht="90.75" customHeight="1" x14ac:dyDescent="0.25">
      <c r="A56" s="9">
        <v>54</v>
      </c>
      <c r="B56" s="25" t="s">
        <v>314</v>
      </c>
      <c r="C56" s="25"/>
      <c r="D56" s="12">
        <v>300</v>
      </c>
      <c r="E56" s="12" t="s">
        <v>303</v>
      </c>
      <c r="F56" s="11" t="s">
        <v>315</v>
      </c>
      <c r="G56" s="11" t="s">
        <v>335</v>
      </c>
      <c r="H56" s="11" t="s">
        <v>317</v>
      </c>
      <c r="I56" s="29" t="s">
        <v>307</v>
      </c>
      <c r="J56" s="29" t="s">
        <v>307</v>
      </c>
      <c r="K56" s="35"/>
      <c r="L56" s="35"/>
      <c r="M56" s="11" t="s">
        <v>331</v>
      </c>
      <c r="N56" s="15" t="s">
        <v>332</v>
      </c>
      <c r="O56" s="23"/>
      <c r="P56" s="7" t="s">
        <v>336</v>
      </c>
      <c r="Q56" s="15" t="s">
        <v>334</v>
      </c>
      <c r="R56" s="15"/>
      <c r="S56" s="8"/>
      <c r="T56" s="8"/>
      <c r="U56" s="8"/>
      <c r="V56" s="8"/>
      <c r="W56" s="8"/>
      <c r="X56" s="8"/>
      <c r="Y56" s="8"/>
      <c r="Z56" s="8"/>
      <c r="AA56" s="8"/>
      <c r="AB56" s="8"/>
    </row>
    <row r="57" spans="1:28" ht="90.75" customHeight="1" x14ac:dyDescent="0.25">
      <c r="A57" s="9">
        <v>55</v>
      </c>
      <c r="B57" s="25" t="s">
        <v>314</v>
      </c>
      <c r="C57" s="25"/>
      <c r="D57" s="12">
        <v>120</v>
      </c>
      <c r="E57" s="12" t="s">
        <v>303</v>
      </c>
      <c r="F57" s="11" t="s">
        <v>337</v>
      </c>
      <c r="G57" s="11" t="s">
        <v>338</v>
      </c>
      <c r="H57" s="11" t="s">
        <v>339</v>
      </c>
      <c r="I57" s="29" t="s">
        <v>340</v>
      </c>
      <c r="J57" s="29" t="s">
        <v>341</v>
      </c>
      <c r="K57" s="35"/>
      <c r="L57" s="35"/>
      <c r="M57" s="11" t="s">
        <v>342</v>
      </c>
      <c r="N57" s="15" t="s">
        <v>343</v>
      </c>
      <c r="O57" s="23"/>
      <c r="P57" s="7" t="s">
        <v>344</v>
      </c>
      <c r="Q57" s="15" t="s">
        <v>345</v>
      </c>
      <c r="R57" s="15"/>
      <c r="S57" s="8"/>
      <c r="T57" s="8"/>
      <c r="U57" s="8"/>
      <c r="V57" s="8"/>
      <c r="W57" s="8"/>
      <c r="X57" s="8"/>
      <c r="Y57" s="8"/>
      <c r="Z57" s="8"/>
      <c r="AA57" s="8"/>
      <c r="AB57" s="8"/>
    </row>
    <row r="58" spans="1:28" ht="45" customHeight="1" x14ac:dyDescent="0.25">
      <c r="A58" s="19">
        <v>56</v>
      </c>
      <c r="B58" s="25" t="s">
        <v>314</v>
      </c>
      <c r="C58" s="25"/>
      <c r="D58" s="12"/>
      <c r="E58" s="12"/>
      <c r="F58" s="11" t="s">
        <v>346</v>
      </c>
      <c r="G58" s="38" t="s">
        <v>347</v>
      </c>
      <c r="H58" s="11" t="s">
        <v>348</v>
      </c>
      <c r="I58" s="29" t="s">
        <v>349</v>
      </c>
      <c r="J58" s="29" t="s">
        <v>350</v>
      </c>
      <c r="K58" s="35"/>
      <c r="L58" s="35"/>
      <c r="M58" s="11" t="s">
        <v>351</v>
      </c>
      <c r="N58" s="39" t="s">
        <v>352</v>
      </c>
      <c r="O58" s="40"/>
      <c r="P58" s="41" t="s">
        <v>353</v>
      </c>
      <c r="Q58" s="39" t="s">
        <v>354</v>
      </c>
      <c r="R58" s="39"/>
    </row>
    <row r="59" spans="1:28" ht="90.75" customHeight="1" x14ac:dyDescent="0.25">
      <c r="A59" s="17">
        <v>57</v>
      </c>
      <c r="B59" s="25" t="s">
        <v>355</v>
      </c>
      <c r="C59" s="25"/>
      <c r="D59" s="12">
        <v>3</v>
      </c>
      <c r="E59" s="12" t="s">
        <v>303</v>
      </c>
      <c r="F59" s="11" t="s">
        <v>356</v>
      </c>
      <c r="G59" s="11" t="s">
        <v>357</v>
      </c>
      <c r="H59" s="11" t="s">
        <v>358</v>
      </c>
      <c r="I59" s="11" t="s">
        <v>359</v>
      </c>
      <c r="J59" s="29" t="s">
        <v>350</v>
      </c>
      <c r="K59" s="42">
        <v>3450000</v>
      </c>
      <c r="L59" s="35"/>
      <c r="M59" s="11" t="s">
        <v>360</v>
      </c>
      <c r="N59" s="15" t="s">
        <v>361</v>
      </c>
      <c r="O59" s="23"/>
      <c r="P59" s="7" t="s">
        <v>362</v>
      </c>
      <c r="Q59" s="15" t="s">
        <v>363</v>
      </c>
      <c r="R59" s="15"/>
      <c r="S59" s="8"/>
      <c r="T59" s="8"/>
      <c r="U59" s="8"/>
      <c r="V59" s="8"/>
      <c r="W59" s="8"/>
      <c r="X59" s="8"/>
      <c r="Y59" s="8"/>
      <c r="Z59" s="8"/>
      <c r="AA59" s="8"/>
      <c r="AB59" s="8"/>
    </row>
    <row r="60" spans="1:28" ht="90.75" customHeight="1" x14ac:dyDescent="0.25">
      <c r="A60" s="9">
        <v>58</v>
      </c>
      <c r="B60" s="25" t="s">
        <v>355</v>
      </c>
      <c r="C60" s="25"/>
      <c r="D60" s="12">
        <v>6</v>
      </c>
      <c r="E60" s="12" t="s">
        <v>134</v>
      </c>
      <c r="F60" s="11" t="s">
        <v>356</v>
      </c>
      <c r="G60" s="11" t="s">
        <v>364</v>
      </c>
      <c r="H60" s="11" t="s">
        <v>358</v>
      </c>
      <c r="I60" s="11" t="s">
        <v>359</v>
      </c>
      <c r="J60" s="29" t="s">
        <v>350</v>
      </c>
      <c r="K60" s="35"/>
      <c r="L60" s="35"/>
      <c r="M60" s="11" t="s">
        <v>365</v>
      </c>
      <c r="N60" s="15" t="s">
        <v>361</v>
      </c>
      <c r="O60" s="23"/>
      <c r="P60" s="7" t="s">
        <v>366</v>
      </c>
      <c r="Q60" s="15" t="s">
        <v>363</v>
      </c>
      <c r="R60" s="15"/>
      <c r="S60" s="8"/>
      <c r="T60" s="8"/>
      <c r="U60" s="8"/>
      <c r="V60" s="8"/>
      <c r="W60" s="8"/>
      <c r="X60" s="8"/>
      <c r="Y60" s="8"/>
      <c r="Z60" s="8"/>
      <c r="AA60" s="8"/>
      <c r="AB60" s="8"/>
    </row>
    <row r="61" spans="1:28" ht="90.75" customHeight="1" x14ac:dyDescent="0.25">
      <c r="A61" s="9">
        <v>59</v>
      </c>
      <c r="B61" s="25" t="s">
        <v>355</v>
      </c>
      <c r="C61" s="25"/>
      <c r="D61" s="12">
        <v>3</v>
      </c>
      <c r="E61" s="12" t="s">
        <v>303</v>
      </c>
      <c r="F61" s="11" t="s">
        <v>356</v>
      </c>
      <c r="G61" s="11" t="s">
        <v>367</v>
      </c>
      <c r="H61" s="11" t="s">
        <v>358</v>
      </c>
      <c r="I61" s="11" t="s">
        <v>359</v>
      </c>
      <c r="J61" s="29" t="s">
        <v>350</v>
      </c>
      <c r="K61" s="35"/>
      <c r="L61" s="35"/>
      <c r="M61" s="11" t="s">
        <v>365</v>
      </c>
      <c r="N61" s="15" t="s">
        <v>361</v>
      </c>
      <c r="O61" s="23"/>
      <c r="P61" s="7" t="s">
        <v>368</v>
      </c>
      <c r="Q61" s="15" t="s">
        <v>363</v>
      </c>
      <c r="R61" s="15"/>
      <c r="S61" s="8"/>
      <c r="T61" s="8"/>
      <c r="U61" s="8"/>
      <c r="V61" s="8"/>
      <c r="W61" s="8"/>
      <c r="X61" s="8"/>
      <c r="Y61" s="8"/>
      <c r="Z61" s="8"/>
      <c r="AA61" s="8"/>
      <c r="AB61" s="8"/>
    </row>
    <row r="62" spans="1:28" ht="90.75" customHeight="1" x14ac:dyDescent="0.25">
      <c r="A62" s="9">
        <v>60</v>
      </c>
      <c r="B62" s="25" t="s">
        <v>355</v>
      </c>
      <c r="C62" s="25"/>
      <c r="D62" s="12">
        <v>300</v>
      </c>
      <c r="E62" s="12" t="s">
        <v>153</v>
      </c>
      <c r="F62" s="11" t="s">
        <v>369</v>
      </c>
      <c r="G62" s="11" t="s">
        <v>370</v>
      </c>
      <c r="H62" s="11" t="s">
        <v>371</v>
      </c>
      <c r="I62" s="11" t="s">
        <v>372</v>
      </c>
      <c r="J62" s="29" t="s">
        <v>373</v>
      </c>
      <c r="K62" s="35"/>
      <c r="L62" s="35"/>
      <c r="M62" s="11" t="s">
        <v>374</v>
      </c>
      <c r="N62" s="15" t="s">
        <v>375</v>
      </c>
      <c r="O62" s="23"/>
      <c r="P62" s="7" t="s">
        <v>376</v>
      </c>
      <c r="Q62" s="15" t="s">
        <v>377</v>
      </c>
      <c r="R62" s="15"/>
      <c r="S62" s="8"/>
      <c r="T62" s="8"/>
      <c r="U62" s="8"/>
      <c r="V62" s="8"/>
      <c r="W62" s="8"/>
      <c r="X62" s="8"/>
      <c r="Y62" s="8"/>
      <c r="Z62" s="8"/>
      <c r="AA62" s="8"/>
      <c r="AB62" s="8"/>
    </row>
    <row r="63" spans="1:28" ht="90.75" customHeight="1" x14ac:dyDescent="0.25">
      <c r="A63" s="9">
        <v>61</v>
      </c>
      <c r="B63" s="25" t="s">
        <v>314</v>
      </c>
      <c r="C63" s="25"/>
      <c r="D63" s="12">
        <v>1300</v>
      </c>
      <c r="E63" s="12" t="s">
        <v>303</v>
      </c>
      <c r="F63" s="11" t="s">
        <v>378</v>
      </c>
      <c r="G63" s="11" t="s">
        <v>379</v>
      </c>
      <c r="H63" s="11" t="s">
        <v>380</v>
      </c>
      <c r="I63" s="11" t="s">
        <v>381</v>
      </c>
      <c r="J63" s="29" t="s">
        <v>308</v>
      </c>
      <c r="K63" s="35">
        <v>26790000</v>
      </c>
      <c r="L63" s="35" t="s">
        <v>382</v>
      </c>
      <c r="M63" s="11" t="s">
        <v>383</v>
      </c>
      <c r="N63" s="15" t="s">
        <v>384</v>
      </c>
      <c r="O63" s="23"/>
      <c r="P63" s="7" t="s">
        <v>385</v>
      </c>
      <c r="Q63" s="15" t="s">
        <v>386</v>
      </c>
      <c r="R63" s="15"/>
      <c r="S63" s="8"/>
      <c r="T63" s="8"/>
      <c r="U63" s="8"/>
      <c r="V63" s="8"/>
      <c r="W63" s="8"/>
      <c r="X63" s="8"/>
      <c r="Y63" s="8"/>
      <c r="Z63" s="8"/>
      <c r="AA63" s="8"/>
      <c r="AB63" s="8"/>
    </row>
    <row r="64" spans="1:28" ht="92.25" customHeight="1" x14ac:dyDescent="0.25">
      <c r="A64" s="17">
        <v>62</v>
      </c>
      <c r="B64" s="25" t="s">
        <v>355</v>
      </c>
      <c r="C64" s="25"/>
      <c r="D64" s="12">
        <v>160</v>
      </c>
      <c r="E64" s="12" t="s">
        <v>20</v>
      </c>
      <c r="F64" s="11" t="s">
        <v>387</v>
      </c>
      <c r="G64" s="11" t="s">
        <v>388</v>
      </c>
      <c r="H64" s="11" t="s">
        <v>389</v>
      </c>
      <c r="I64" s="11" t="s">
        <v>390</v>
      </c>
      <c r="J64" s="29" t="s">
        <v>373</v>
      </c>
      <c r="K64" s="35"/>
      <c r="L64" s="35"/>
      <c r="M64" s="11" t="s">
        <v>391</v>
      </c>
      <c r="N64" s="15" t="s">
        <v>392</v>
      </c>
      <c r="O64" s="23"/>
      <c r="P64" s="7" t="s">
        <v>393</v>
      </c>
      <c r="Q64" s="15" t="s">
        <v>394</v>
      </c>
      <c r="R64" s="15"/>
      <c r="S64" s="8"/>
      <c r="T64" s="8"/>
      <c r="U64" s="8"/>
      <c r="V64" s="8"/>
      <c r="W64" s="8"/>
      <c r="X64" s="8"/>
      <c r="Y64" s="8"/>
      <c r="Z64" s="8"/>
      <c r="AA64" s="8"/>
      <c r="AB64" s="8"/>
    </row>
    <row r="65" spans="1:28" ht="92.25" customHeight="1" x14ac:dyDescent="0.25">
      <c r="A65" s="9">
        <v>63</v>
      </c>
      <c r="B65" s="25" t="s">
        <v>355</v>
      </c>
      <c r="C65" s="25"/>
      <c r="D65" s="12">
        <v>100</v>
      </c>
      <c r="E65" s="12" t="s">
        <v>20</v>
      </c>
      <c r="F65" s="11" t="s">
        <v>387</v>
      </c>
      <c r="G65" s="11" t="s">
        <v>395</v>
      </c>
      <c r="H65" s="11" t="s">
        <v>396</v>
      </c>
      <c r="I65" s="11" t="s">
        <v>390</v>
      </c>
      <c r="J65" s="29" t="s">
        <v>373</v>
      </c>
      <c r="K65" s="35"/>
      <c r="L65" s="35"/>
      <c r="M65" s="11" t="s">
        <v>391</v>
      </c>
      <c r="N65" s="15" t="s">
        <v>392</v>
      </c>
      <c r="O65" s="23"/>
      <c r="P65" s="7" t="s">
        <v>393</v>
      </c>
      <c r="Q65" s="15" t="s">
        <v>394</v>
      </c>
      <c r="R65" s="15"/>
      <c r="S65" s="8"/>
      <c r="T65" s="8"/>
      <c r="U65" s="8"/>
      <c r="V65" s="8"/>
      <c r="W65" s="8"/>
      <c r="X65" s="8"/>
      <c r="Y65" s="8"/>
      <c r="Z65" s="8"/>
      <c r="AA65" s="8"/>
      <c r="AB65" s="8"/>
    </row>
    <row r="66" spans="1:28" ht="92.25" customHeight="1" x14ac:dyDescent="0.25">
      <c r="A66" s="9">
        <v>64</v>
      </c>
      <c r="B66" s="25" t="s">
        <v>355</v>
      </c>
      <c r="C66" s="25"/>
      <c r="D66" s="12">
        <v>800</v>
      </c>
      <c r="E66" s="12" t="s">
        <v>20</v>
      </c>
      <c r="F66" s="11" t="s">
        <v>387</v>
      </c>
      <c r="G66" s="11" t="s">
        <v>397</v>
      </c>
      <c r="H66" s="11" t="s">
        <v>396</v>
      </c>
      <c r="I66" s="11" t="s">
        <v>390</v>
      </c>
      <c r="J66" s="29" t="s">
        <v>373</v>
      </c>
      <c r="K66" s="35"/>
      <c r="L66" s="35"/>
      <c r="M66" s="11" t="s">
        <v>391</v>
      </c>
      <c r="N66" s="15" t="s">
        <v>392</v>
      </c>
      <c r="O66" s="23"/>
      <c r="P66" s="7" t="s">
        <v>393</v>
      </c>
      <c r="Q66" s="15" t="s">
        <v>394</v>
      </c>
      <c r="R66" s="15"/>
      <c r="S66" s="8"/>
      <c r="T66" s="8"/>
      <c r="U66" s="8"/>
      <c r="V66" s="8"/>
      <c r="W66" s="8"/>
      <c r="X66" s="8"/>
      <c r="Y66" s="8"/>
      <c r="Z66" s="8"/>
      <c r="AA66" s="8"/>
      <c r="AB66" s="8"/>
    </row>
    <row r="67" spans="1:28" ht="90.75" customHeight="1" x14ac:dyDescent="0.25">
      <c r="A67" s="9">
        <v>65</v>
      </c>
      <c r="B67" s="25" t="s">
        <v>355</v>
      </c>
      <c r="C67" s="25"/>
      <c r="D67" s="12">
        <v>90</v>
      </c>
      <c r="E67" s="12" t="s">
        <v>20</v>
      </c>
      <c r="F67" s="11" t="s">
        <v>387</v>
      </c>
      <c r="G67" s="11" t="s">
        <v>398</v>
      </c>
      <c r="H67" s="11" t="s">
        <v>389</v>
      </c>
      <c r="I67" s="11" t="s">
        <v>390</v>
      </c>
      <c r="J67" s="29" t="s">
        <v>350</v>
      </c>
      <c r="K67" s="35"/>
      <c r="L67" s="35"/>
      <c r="M67" s="11" t="s">
        <v>399</v>
      </c>
      <c r="N67" s="15" t="s">
        <v>392</v>
      </c>
      <c r="O67" s="23"/>
      <c r="P67" s="7" t="s">
        <v>400</v>
      </c>
      <c r="Q67" s="15" t="s">
        <v>394</v>
      </c>
      <c r="R67" s="15"/>
      <c r="S67" s="8"/>
      <c r="T67" s="8"/>
      <c r="U67" s="8"/>
      <c r="V67" s="8"/>
      <c r="W67" s="8"/>
      <c r="X67" s="8"/>
      <c r="Y67" s="8"/>
      <c r="Z67" s="8"/>
      <c r="AA67" s="8"/>
      <c r="AB67" s="8"/>
    </row>
    <row r="68" spans="1:28" ht="90.75" customHeight="1" x14ac:dyDescent="0.25">
      <c r="A68" s="19">
        <v>66</v>
      </c>
      <c r="B68" s="25" t="s">
        <v>355</v>
      </c>
      <c r="C68" s="25"/>
      <c r="D68" s="12">
        <v>50</v>
      </c>
      <c r="E68" s="12" t="s">
        <v>20</v>
      </c>
      <c r="F68" s="11" t="s">
        <v>387</v>
      </c>
      <c r="G68" s="11" t="s">
        <v>401</v>
      </c>
      <c r="H68" s="11" t="s">
        <v>389</v>
      </c>
      <c r="I68" s="11" t="s">
        <v>390</v>
      </c>
      <c r="J68" s="29" t="s">
        <v>350</v>
      </c>
      <c r="K68" s="35"/>
      <c r="L68" s="35"/>
      <c r="M68" s="11" t="s">
        <v>402</v>
      </c>
      <c r="N68" s="15" t="s">
        <v>392</v>
      </c>
      <c r="O68" s="23"/>
      <c r="P68" s="43" t="s">
        <v>403</v>
      </c>
      <c r="Q68" s="15" t="s">
        <v>394</v>
      </c>
      <c r="R68" s="15"/>
      <c r="S68" s="8"/>
      <c r="T68" s="8"/>
      <c r="U68" s="8"/>
      <c r="V68" s="8"/>
      <c r="W68" s="8"/>
      <c r="X68" s="8"/>
      <c r="Y68" s="8"/>
      <c r="Z68" s="8"/>
      <c r="AA68" s="8"/>
      <c r="AB68" s="8"/>
    </row>
    <row r="69" spans="1:28" ht="90.75" customHeight="1" x14ac:dyDescent="0.25">
      <c r="A69" s="9">
        <v>71</v>
      </c>
      <c r="B69" s="25" t="s">
        <v>355</v>
      </c>
      <c r="C69" s="25"/>
      <c r="D69" s="12">
        <v>11</v>
      </c>
      <c r="E69" s="12" t="s">
        <v>20</v>
      </c>
      <c r="F69" s="11" t="s">
        <v>404</v>
      </c>
      <c r="G69" s="11" t="s">
        <v>405</v>
      </c>
      <c r="H69" s="11" t="s">
        <v>406</v>
      </c>
      <c r="I69" s="11" t="s">
        <v>407</v>
      </c>
      <c r="J69" s="29" t="s">
        <v>408</v>
      </c>
      <c r="K69" s="35">
        <v>1808950</v>
      </c>
      <c r="L69" s="35" t="s">
        <v>409</v>
      </c>
      <c r="M69" s="11" t="s">
        <v>399</v>
      </c>
      <c r="N69" s="33"/>
      <c r="O69" s="36" t="s">
        <v>410</v>
      </c>
      <c r="P69" s="7"/>
      <c r="Q69" s="33"/>
      <c r="R69" s="33" t="s">
        <v>411</v>
      </c>
      <c r="S69" s="8"/>
      <c r="T69" s="8"/>
      <c r="U69" s="8"/>
      <c r="V69" s="8"/>
      <c r="W69" s="8"/>
      <c r="X69" s="8"/>
      <c r="Y69" s="8"/>
      <c r="Z69" s="8"/>
      <c r="AA69" s="8"/>
      <c r="AB69" s="8"/>
    </row>
    <row r="70" spans="1:28" ht="90.75" customHeight="1" x14ac:dyDescent="0.25">
      <c r="A70" s="17">
        <v>72</v>
      </c>
      <c r="B70" s="25" t="s">
        <v>355</v>
      </c>
      <c r="C70" s="25"/>
      <c r="D70" s="12">
        <v>1</v>
      </c>
      <c r="E70" s="12" t="s">
        <v>20</v>
      </c>
      <c r="F70" s="11" t="s">
        <v>404</v>
      </c>
      <c r="G70" s="11" t="s">
        <v>412</v>
      </c>
      <c r="H70" s="11" t="s">
        <v>406</v>
      </c>
      <c r="I70" s="11" t="s">
        <v>407</v>
      </c>
      <c r="J70" s="29" t="s">
        <v>408</v>
      </c>
      <c r="K70" s="35">
        <v>1070400</v>
      </c>
      <c r="L70" s="35">
        <v>203376</v>
      </c>
      <c r="M70" s="11" t="s">
        <v>399</v>
      </c>
      <c r="N70" s="33"/>
      <c r="O70" s="36" t="s">
        <v>413</v>
      </c>
      <c r="P70" s="7" t="s">
        <v>414</v>
      </c>
      <c r="Q70" s="33"/>
      <c r="R70" s="33" t="s">
        <v>415</v>
      </c>
      <c r="S70" s="8"/>
      <c r="T70" s="8"/>
      <c r="U70" s="8"/>
      <c r="V70" s="8"/>
      <c r="W70" s="8"/>
      <c r="X70" s="8"/>
      <c r="Y70" s="8"/>
      <c r="Z70" s="8"/>
      <c r="AA70" s="8"/>
      <c r="AB70" s="8"/>
    </row>
    <row r="71" spans="1:28" ht="90.75" customHeight="1" x14ac:dyDescent="0.25">
      <c r="A71" s="9">
        <v>73</v>
      </c>
      <c r="B71" s="25" t="s">
        <v>355</v>
      </c>
      <c r="C71" s="25"/>
      <c r="D71" s="12">
        <v>1</v>
      </c>
      <c r="E71" s="12" t="s">
        <v>20</v>
      </c>
      <c r="F71" s="11" t="s">
        <v>404</v>
      </c>
      <c r="G71" s="11" t="s">
        <v>416</v>
      </c>
      <c r="H71" s="11" t="s">
        <v>406</v>
      </c>
      <c r="I71" s="11" t="s">
        <v>407</v>
      </c>
      <c r="J71" s="29" t="s">
        <v>408</v>
      </c>
      <c r="K71" s="35">
        <v>2342150</v>
      </c>
      <c r="L71" s="35" t="s">
        <v>417</v>
      </c>
      <c r="M71" s="11" t="s">
        <v>399</v>
      </c>
      <c r="N71" s="33"/>
      <c r="O71" s="36" t="s">
        <v>413</v>
      </c>
      <c r="P71" s="7" t="s">
        <v>418</v>
      </c>
      <c r="Q71" s="33"/>
      <c r="R71" s="33" t="s">
        <v>415</v>
      </c>
      <c r="S71" s="8"/>
      <c r="T71" s="8"/>
      <c r="U71" s="8"/>
      <c r="V71" s="8"/>
      <c r="W71" s="8"/>
      <c r="X71" s="8"/>
      <c r="Y71" s="8"/>
      <c r="Z71" s="8"/>
      <c r="AA71" s="8"/>
      <c r="AB71" s="8"/>
    </row>
    <row r="72" spans="1:28" ht="90.75" customHeight="1" x14ac:dyDescent="0.25">
      <c r="A72" s="9">
        <v>74</v>
      </c>
      <c r="B72" s="25" t="s">
        <v>355</v>
      </c>
      <c r="C72" s="25"/>
      <c r="D72" s="12">
        <v>2</v>
      </c>
      <c r="E72" s="12" t="s">
        <v>20</v>
      </c>
      <c r="F72" s="11" t="s">
        <v>404</v>
      </c>
      <c r="G72" s="11" t="s">
        <v>419</v>
      </c>
      <c r="H72" s="11" t="s">
        <v>406</v>
      </c>
      <c r="I72" s="11" t="s">
        <v>407</v>
      </c>
      <c r="J72" s="29" t="s">
        <v>408</v>
      </c>
      <c r="K72" s="35">
        <v>1808950</v>
      </c>
      <c r="L72" s="35" t="s">
        <v>409</v>
      </c>
      <c r="M72" s="11" t="s">
        <v>399</v>
      </c>
      <c r="N72" s="33"/>
      <c r="O72" s="36" t="s">
        <v>410</v>
      </c>
      <c r="P72" s="7" t="s">
        <v>420</v>
      </c>
      <c r="Q72" s="33"/>
      <c r="R72" s="33" t="s">
        <v>411</v>
      </c>
      <c r="S72" s="8"/>
      <c r="T72" s="8"/>
      <c r="U72" s="8"/>
      <c r="V72" s="8"/>
      <c r="W72" s="8"/>
      <c r="X72" s="8"/>
      <c r="Y72" s="8"/>
      <c r="Z72" s="8"/>
      <c r="AA72" s="8"/>
      <c r="AB72" s="8"/>
    </row>
    <row r="73" spans="1:28" ht="90.75" customHeight="1" x14ac:dyDescent="0.25">
      <c r="A73" s="9">
        <v>75</v>
      </c>
      <c r="B73" s="25" t="s">
        <v>355</v>
      </c>
      <c r="C73" s="25"/>
      <c r="D73" s="12">
        <v>7</v>
      </c>
      <c r="E73" s="12" t="s">
        <v>20</v>
      </c>
      <c r="F73" s="11" t="s">
        <v>404</v>
      </c>
      <c r="G73" s="11" t="s">
        <v>421</v>
      </c>
      <c r="H73" s="11" t="s">
        <v>406</v>
      </c>
      <c r="I73" s="11" t="s">
        <v>407</v>
      </c>
      <c r="J73" s="29" t="s">
        <v>408</v>
      </c>
      <c r="K73" s="35">
        <v>3055500</v>
      </c>
      <c r="L73" s="35">
        <v>580545</v>
      </c>
      <c r="M73" s="11" t="s">
        <v>399</v>
      </c>
      <c r="N73" s="33"/>
      <c r="O73" s="36" t="s">
        <v>413</v>
      </c>
      <c r="P73" s="7" t="s">
        <v>422</v>
      </c>
      <c r="Q73" s="33"/>
      <c r="R73" s="33" t="s">
        <v>415</v>
      </c>
      <c r="S73" s="8"/>
      <c r="T73" s="8"/>
      <c r="U73" s="8"/>
      <c r="V73" s="8"/>
      <c r="W73" s="8"/>
      <c r="X73" s="8"/>
      <c r="Y73" s="8"/>
      <c r="Z73" s="8"/>
      <c r="AA73" s="8"/>
      <c r="AB73" s="8"/>
    </row>
    <row r="74" spans="1:28" ht="90.75" customHeight="1" x14ac:dyDescent="0.25">
      <c r="A74" s="19">
        <v>76</v>
      </c>
      <c r="B74" s="25" t="s">
        <v>423</v>
      </c>
      <c r="C74" s="25"/>
      <c r="D74" s="12">
        <v>4</v>
      </c>
      <c r="E74" s="12" t="s">
        <v>20</v>
      </c>
      <c r="F74" s="11" t="s">
        <v>424</v>
      </c>
      <c r="G74" s="11" t="s">
        <v>425</v>
      </c>
      <c r="H74" s="11" t="s">
        <v>426</v>
      </c>
      <c r="I74" s="29" t="s">
        <v>427</v>
      </c>
      <c r="J74" s="29" t="s">
        <v>427</v>
      </c>
      <c r="K74" s="35"/>
      <c r="L74" s="35"/>
      <c r="M74" s="11" t="s">
        <v>428</v>
      </c>
      <c r="N74" s="15" t="s">
        <v>429</v>
      </c>
      <c r="O74" s="23"/>
      <c r="P74" s="7" t="s">
        <v>430</v>
      </c>
      <c r="Q74" s="15" t="s">
        <v>431</v>
      </c>
      <c r="R74" s="15"/>
      <c r="S74" s="8"/>
      <c r="T74" s="8"/>
      <c r="U74" s="8"/>
      <c r="V74" s="8"/>
      <c r="W74" s="8"/>
      <c r="X74" s="8"/>
      <c r="Y74" s="8"/>
      <c r="Z74" s="8"/>
      <c r="AA74" s="8"/>
      <c r="AB74" s="8"/>
    </row>
    <row r="75" spans="1:28" ht="90.75" customHeight="1" x14ac:dyDescent="0.25">
      <c r="A75" s="17">
        <v>77</v>
      </c>
      <c r="B75" s="32" t="s">
        <v>432</v>
      </c>
      <c r="C75" s="25"/>
      <c r="D75" s="9">
        <v>7</v>
      </c>
      <c r="E75" s="9" t="s">
        <v>20</v>
      </c>
      <c r="F75" s="33" t="s">
        <v>424</v>
      </c>
      <c r="G75" s="33" t="s">
        <v>433</v>
      </c>
      <c r="H75" s="33" t="s">
        <v>434</v>
      </c>
      <c r="I75" s="34" t="s">
        <v>427</v>
      </c>
      <c r="J75" s="34" t="s">
        <v>427</v>
      </c>
      <c r="K75" s="35"/>
      <c r="L75" s="35"/>
      <c r="M75" s="33" t="s">
        <v>435</v>
      </c>
      <c r="N75" s="15" t="s">
        <v>429</v>
      </c>
      <c r="O75" s="23"/>
      <c r="P75" s="7" t="s">
        <v>436</v>
      </c>
      <c r="Q75" s="15" t="s">
        <v>431</v>
      </c>
      <c r="R75" s="15"/>
      <c r="S75" s="8"/>
      <c r="T75" s="8"/>
      <c r="U75" s="8"/>
      <c r="V75" s="8"/>
      <c r="W75" s="8"/>
      <c r="X75" s="8"/>
      <c r="Y75" s="8"/>
      <c r="Z75" s="8"/>
      <c r="AA75" s="8"/>
      <c r="AB75" s="8"/>
    </row>
    <row r="76" spans="1:28" ht="90.75" customHeight="1" x14ac:dyDescent="0.25">
      <c r="A76" s="9">
        <v>78</v>
      </c>
      <c r="B76" s="32" t="s">
        <v>432</v>
      </c>
      <c r="C76" s="25"/>
      <c r="D76" s="9">
        <v>10</v>
      </c>
      <c r="E76" s="9" t="s">
        <v>20</v>
      </c>
      <c r="F76" s="33" t="s">
        <v>424</v>
      </c>
      <c r="G76" s="33" t="s">
        <v>437</v>
      </c>
      <c r="H76" s="33" t="s">
        <v>434</v>
      </c>
      <c r="I76" s="34" t="s">
        <v>427</v>
      </c>
      <c r="J76" s="34" t="s">
        <v>427</v>
      </c>
      <c r="K76" s="35"/>
      <c r="L76" s="35"/>
      <c r="M76" s="33" t="s">
        <v>438</v>
      </c>
      <c r="N76" s="15" t="s">
        <v>429</v>
      </c>
      <c r="O76" s="23"/>
      <c r="P76" s="7" t="s">
        <v>1440</v>
      </c>
      <c r="Q76" s="15" t="s">
        <v>431</v>
      </c>
      <c r="R76" s="15"/>
      <c r="S76" s="8"/>
      <c r="T76" s="8"/>
      <c r="U76" s="8"/>
      <c r="V76" s="8"/>
      <c r="W76" s="8"/>
      <c r="X76" s="8"/>
      <c r="Y76" s="8"/>
      <c r="Z76" s="8"/>
      <c r="AA76" s="8"/>
      <c r="AB76" s="8"/>
    </row>
    <row r="77" spans="1:28" ht="90.75" customHeight="1" x14ac:dyDescent="0.25">
      <c r="A77" s="9">
        <v>79</v>
      </c>
      <c r="B77" s="32" t="s">
        <v>432</v>
      </c>
      <c r="C77" s="25"/>
      <c r="D77" s="9">
        <v>10</v>
      </c>
      <c r="E77" s="9" t="s">
        <v>20</v>
      </c>
      <c r="F77" s="33" t="s">
        <v>424</v>
      </c>
      <c r="G77" s="33" t="s">
        <v>439</v>
      </c>
      <c r="H77" s="33" t="s">
        <v>440</v>
      </c>
      <c r="I77" s="34" t="s">
        <v>427</v>
      </c>
      <c r="J77" s="34" t="s">
        <v>427</v>
      </c>
      <c r="K77" s="35"/>
      <c r="L77" s="35"/>
      <c r="M77" s="33" t="s">
        <v>441</v>
      </c>
      <c r="N77" s="15" t="s">
        <v>442</v>
      </c>
      <c r="O77" s="23"/>
      <c r="P77" s="7" t="s">
        <v>443</v>
      </c>
      <c r="Q77" s="15" t="s">
        <v>444</v>
      </c>
      <c r="R77" s="15"/>
      <c r="S77" s="8"/>
      <c r="T77" s="8"/>
      <c r="U77" s="8"/>
      <c r="V77" s="8"/>
      <c r="W77" s="8"/>
      <c r="X77" s="8"/>
      <c r="Y77" s="8"/>
      <c r="Z77" s="8"/>
      <c r="AA77" s="8"/>
      <c r="AB77" s="8"/>
    </row>
    <row r="78" spans="1:28" ht="90.75" customHeight="1" x14ac:dyDescent="0.25">
      <c r="A78" s="9">
        <v>80</v>
      </c>
      <c r="B78" s="25" t="s">
        <v>445</v>
      </c>
      <c r="C78" s="25"/>
      <c r="D78" s="12">
        <v>10</v>
      </c>
      <c r="E78" s="12" t="s">
        <v>20</v>
      </c>
      <c r="F78" s="11" t="s">
        <v>446</v>
      </c>
      <c r="G78" s="11" t="s">
        <v>447</v>
      </c>
      <c r="H78" s="33" t="s">
        <v>440</v>
      </c>
      <c r="I78" s="11" t="s">
        <v>448</v>
      </c>
      <c r="J78" s="29" t="s">
        <v>350</v>
      </c>
      <c r="K78" s="35"/>
      <c r="L78" s="35"/>
      <c r="M78" s="11" t="s">
        <v>449</v>
      </c>
      <c r="N78" s="15" t="s">
        <v>450</v>
      </c>
      <c r="O78" s="23"/>
      <c r="P78" s="7" t="s">
        <v>451</v>
      </c>
      <c r="Q78" s="15" t="s">
        <v>452</v>
      </c>
      <c r="R78" s="15"/>
      <c r="S78" s="8"/>
      <c r="T78" s="8"/>
      <c r="U78" s="8"/>
      <c r="V78" s="8"/>
      <c r="W78" s="8"/>
      <c r="X78" s="8"/>
      <c r="Y78" s="8"/>
      <c r="Z78" s="8"/>
      <c r="AA78" s="8"/>
      <c r="AB78" s="8"/>
    </row>
    <row r="79" spans="1:28" ht="90.75" customHeight="1" x14ac:dyDescent="0.25">
      <c r="A79" s="9"/>
      <c r="B79" s="25" t="s">
        <v>355</v>
      </c>
      <c r="C79" s="25"/>
      <c r="D79" s="12">
        <v>1</v>
      </c>
      <c r="E79" s="12" t="s">
        <v>20</v>
      </c>
      <c r="F79" s="11" t="s">
        <v>453</v>
      </c>
      <c r="G79" s="11" t="s">
        <v>447</v>
      </c>
      <c r="H79" s="33" t="s">
        <v>454</v>
      </c>
      <c r="I79" s="11" t="s">
        <v>455</v>
      </c>
      <c r="J79" s="29" t="s">
        <v>456</v>
      </c>
      <c r="K79" s="35">
        <v>133949.57983193299</v>
      </c>
      <c r="L79" s="35">
        <v>25450.4201680673</v>
      </c>
      <c r="M79" s="11" t="s">
        <v>457</v>
      </c>
      <c r="N79" s="15" t="s">
        <v>458</v>
      </c>
      <c r="O79" s="23"/>
      <c r="P79" s="7" t="s">
        <v>451</v>
      </c>
      <c r="Q79" s="15" t="s">
        <v>459</v>
      </c>
      <c r="R79" s="15"/>
      <c r="S79" s="8"/>
      <c r="T79" s="8"/>
      <c r="U79" s="8"/>
      <c r="V79" s="8"/>
      <c r="W79" s="8"/>
      <c r="X79" s="8"/>
      <c r="Y79" s="8"/>
      <c r="Z79" s="8"/>
      <c r="AA79" s="8"/>
      <c r="AB79" s="8"/>
    </row>
    <row r="80" spans="1:28" ht="90.75" customHeight="1" x14ac:dyDescent="0.25">
      <c r="A80" s="9">
        <v>81</v>
      </c>
      <c r="B80" s="25" t="s">
        <v>445</v>
      </c>
      <c r="C80" s="25"/>
      <c r="D80" s="12">
        <v>10</v>
      </c>
      <c r="E80" s="12" t="s">
        <v>20</v>
      </c>
      <c r="F80" s="11" t="s">
        <v>446</v>
      </c>
      <c r="G80" s="11" t="s">
        <v>460</v>
      </c>
      <c r="H80" s="11" t="s">
        <v>461</v>
      </c>
      <c r="I80" s="11" t="s">
        <v>448</v>
      </c>
      <c r="J80" s="29" t="s">
        <v>350</v>
      </c>
      <c r="K80" s="35"/>
      <c r="L80" s="35"/>
      <c r="M80" s="11" t="s">
        <v>449</v>
      </c>
      <c r="N80" s="15" t="s">
        <v>450</v>
      </c>
      <c r="O80" s="23"/>
      <c r="P80" s="7" t="s">
        <v>462</v>
      </c>
      <c r="Q80" s="15" t="s">
        <v>452</v>
      </c>
      <c r="R80" s="15"/>
      <c r="S80" s="8"/>
      <c r="T80" s="8"/>
      <c r="U80" s="8"/>
      <c r="V80" s="8"/>
      <c r="W80" s="8"/>
      <c r="X80" s="8"/>
      <c r="Y80" s="8"/>
      <c r="Z80" s="8"/>
      <c r="AA80" s="8"/>
      <c r="AB80" s="8"/>
    </row>
    <row r="81" spans="1:28" ht="90.75" customHeight="1" x14ac:dyDescent="0.25">
      <c r="A81" s="9">
        <v>101</v>
      </c>
      <c r="B81" s="25" t="s">
        <v>355</v>
      </c>
      <c r="C81" s="25"/>
      <c r="D81" s="12">
        <v>17</v>
      </c>
      <c r="E81" s="12" t="s">
        <v>20</v>
      </c>
      <c r="F81" s="11" t="s">
        <v>453</v>
      </c>
      <c r="G81" s="11" t="s">
        <v>460</v>
      </c>
      <c r="H81" s="11" t="s">
        <v>454</v>
      </c>
      <c r="I81" s="11" t="s">
        <v>455</v>
      </c>
      <c r="J81" s="29" t="s">
        <v>308</v>
      </c>
      <c r="K81" s="35">
        <v>752857.14285714296</v>
      </c>
      <c r="L81" s="35">
        <v>143042.85714285701</v>
      </c>
      <c r="M81" s="11" t="s">
        <v>457</v>
      </c>
      <c r="N81" s="15" t="s">
        <v>458</v>
      </c>
      <c r="O81" s="23"/>
      <c r="P81" s="7" t="s">
        <v>462</v>
      </c>
      <c r="Q81" s="15" t="s">
        <v>459</v>
      </c>
      <c r="R81" s="15"/>
      <c r="S81" s="8"/>
      <c r="T81" s="8"/>
      <c r="U81" s="8"/>
      <c r="V81" s="8"/>
      <c r="W81" s="8"/>
      <c r="X81" s="8"/>
      <c r="Y81" s="8"/>
      <c r="Z81" s="8"/>
      <c r="AA81" s="8"/>
      <c r="AB81" s="8"/>
    </row>
    <row r="82" spans="1:28" ht="90.75" customHeight="1" x14ac:dyDescent="0.25">
      <c r="A82" s="17">
        <v>82</v>
      </c>
      <c r="B82" s="25" t="s">
        <v>355</v>
      </c>
      <c r="C82" s="25"/>
      <c r="D82" s="12">
        <v>25</v>
      </c>
      <c r="E82" s="12" t="s">
        <v>20</v>
      </c>
      <c r="F82" s="11" t="s">
        <v>446</v>
      </c>
      <c r="G82" s="44" t="s">
        <v>463</v>
      </c>
      <c r="H82" s="11" t="s">
        <v>461</v>
      </c>
      <c r="I82" s="11" t="s">
        <v>448</v>
      </c>
      <c r="J82" s="29" t="s">
        <v>350</v>
      </c>
      <c r="K82" s="35"/>
      <c r="L82" s="35"/>
      <c r="M82" s="11" t="s">
        <v>464</v>
      </c>
      <c r="N82" s="15" t="s">
        <v>450</v>
      </c>
      <c r="O82" s="23"/>
      <c r="P82" s="7" t="s">
        <v>465</v>
      </c>
      <c r="Q82" s="15" t="s">
        <v>452</v>
      </c>
      <c r="R82" s="15"/>
      <c r="S82" s="8"/>
      <c r="T82" s="8"/>
      <c r="U82" s="8"/>
      <c r="V82" s="8"/>
      <c r="W82" s="8"/>
      <c r="X82" s="8"/>
      <c r="Y82" s="8"/>
      <c r="Z82" s="8"/>
      <c r="AA82" s="8"/>
      <c r="AB82" s="8"/>
    </row>
    <row r="83" spans="1:28" ht="90.75" customHeight="1" x14ac:dyDescent="0.25">
      <c r="A83" s="17">
        <v>82</v>
      </c>
      <c r="B83" s="25" t="s">
        <v>355</v>
      </c>
      <c r="C83" s="25"/>
      <c r="D83" s="12">
        <v>25</v>
      </c>
      <c r="E83" s="12" t="s">
        <v>20</v>
      </c>
      <c r="F83" s="11" t="s">
        <v>446</v>
      </c>
      <c r="G83" s="44" t="s">
        <v>463</v>
      </c>
      <c r="H83" s="11" t="s">
        <v>461</v>
      </c>
      <c r="I83" s="11" t="s">
        <v>448</v>
      </c>
      <c r="J83" s="29" t="s">
        <v>308</v>
      </c>
      <c r="K83" s="35"/>
      <c r="L83" s="35"/>
      <c r="M83" s="11" t="s">
        <v>464</v>
      </c>
      <c r="N83" s="15" t="s">
        <v>450</v>
      </c>
      <c r="O83" s="23"/>
      <c r="P83" s="7" t="s">
        <v>465</v>
      </c>
      <c r="Q83" s="15" t="s">
        <v>452</v>
      </c>
      <c r="R83" s="15"/>
      <c r="S83" s="8"/>
      <c r="T83" s="8"/>
      <c r="U83" s="8"/>
      <c r="V83" s="8"/>
      <c r="W83" s="8"/>
      <c r="X83" s="8"/>
      <c r="Y83" s="8"/>
      <c r="Z83" s="8"/>
      <c r="AA83" s="8"/>
      <c r="AB83" s="8"/>
    </row>
    <row r="84" spans="1:28" ht="90.75" customHeight="1" x14ac:dyDescent="0.25">
      <c r="A84" s="9">
        <v>83</v>
      </c>
      <c r="B84" s="25" t="s">
        <v>466</v>
      </c>
      <c r="C84" s="25"/>
      <c r="D84" s="12">
        <v>8</v>
      </c>
      <c r="E84" s="12" t="s">
        <v>20</v>
      </c>
      <c r="F84" s="11" t="s">
        <v>467</v>
      </c>
      <c r="G84" s="11" t="s">
        <v>468</v>
      </c>
      <c r="H84" s="11" t="s">
        <v>469</v>
      </c>
      <c r="I84" s="11" t="s">
        <v>467</v>
      </c>
      <c r="J84" s="29" t="s">
        <v>350</v>
      </c>
      <c r="K84" s="35"/>
      <c r="L84" s="35"/>
      <c r="M84" s="11" t="s">
        <v>470</v>
      </c>
      <c r="N84" s="15" t="s">
        <v>471</v>
      </c>
      <c r="O84" s="23"/>
      <c r="P84" s="7" t="s">
        <v>472</v>
      </c>
      <c r="Q84" s="15" t="s">
        <v>473</v>
      </c>
      <c r="R84" s="15"/>
      <c r="S84" s="8"/>
      <c r="T84" s="8"/>
      <c r="U84" s="8"/>
      <c r="V84" s="8"/>
      <c r="W84" s="8"/>
      <c r="X84" s="8"/>
      <c r="Y84" s="8"/>
      <c r="Z84" s="8"/>
      <c r="AA84" s="8"/>
      <c r="AB84" s="8"/>
    </row>
    <row r="85" spans="1:28" ht="106.5" customHeight="1" x14ac:dyDescent="0.25">
      <c r="A85" s="9">
        <v>84</v>
      </c>
      <c r="B85" s="25" t="s">
        <v>466</v>
      </c>
      <c r="C85" s="25"/>
      <c r="D85" s="12">
        <v>10</v>
      </c>
      <c r="E85" s="12" t="s">
        <v>134</v>
      </c>
      <c r="F85" s="11" t="s">
        <v>474</v>
      </c>
      <c r="G85" s="11" t="s">
        <v>475</v>
      </c>
      <c r="H85" s="11" t="s">
        <v>476</v>
      </c>
      <c r="I85" s="11" t="s">
        <v>474</v>
      </c>
      <c r="J85" s="11" t="s">
        <v>474</v>
      </c>
      <c r="K85" s="35"/>
      <c r="L85" s="35"/>
      <c r="M85" s="11" t="s">
        <v>331</v>
      </c>
      <c r="N85" s="15" t="s">
        <v>471</v>
      </c>
      <c r="O85" s="23"/>
      <c r="P85" s="7" t="s">
        <v>472</v>
      </c>
      <c r="Q85" s="15" t="s">
        <v>473</v>
      </c>
      <c r="R85" s="15"/>
      <c r="S85" s="8"/>
      <c r="T85" s="8"/>
      <c r="U85" s="8"/>
      <c r="V85" s="8"/>
      <c r="W85" s="8"/>
      <c r="X85" s="8"/>
      <c r="Y85" s="8"/>
      <c r="Z85" s="8"/>
      <c r="AA85" s="8"/>
      <c r="AB85" s="8"/>
    </row>
    <row r="86" spans="1:28" ht="106.5" customHeight="1" x14ac:dyDescent="0.25">
      <c r="A86" s="9">
        <v>85</v>
      </c>
      <c r="B86" s="25" t="s">
        <v>466</v>
      </c>
      <c r="C86" s="25"/>
      <c r="D86" s="12">
        <v>2</v>
      </c>
      <c r="E86" s="12" t="s">
        <v>20</v>
      </c>
      <c r="F86" s="11" t="s">
        <v>477</v>
      </c>
      <c r="G86" s="11" t="s">
        <v>478</v>
      </c>
      <c r="H86" s="11" t="s">
        <v>479</v>
      </c>
      <c r="I86" s="11" t="s">
        <v>477</v>
      </c>
      <c r="J86" s="11" t="s">
        <v>308</v>
      </c>
      <c r="K86" s="35"/>
      <c r="L86" s="35"/>
      <c r="M86" s="11" t="s">
        <v>480</v>
      </c>
      <c r="N86" s="15" t="s">
        <v>481</v>
      </c>
      <c r="O86" s="23"/>
      <c r="P86" s="7" t="s">
        <v>482</v>
      </c>
      <c r="Q86" s="15" t="s">
        <v>483</v>
      </c>
      <c r="R86" s="15"/>
      <c r="S86" s="8"/>
      <c r="T86" s="8"/>
      <c r="U86" s="8"/>
      <c r="V86" s="8"/>
      <c r="W86" s="8"/>
      <c r="X86" s="8"/>
      <c r="Y86" s="8"/>
      <c r="Z86" s="8"/>
      <c r="AA86" s="8"/>
      <c r="AB86" s="8"/>
    </row>
    <row r="87" spans="1:28" ht="106.5" customHeight="1" x14ac:dyDescent="0.25">
      <c r="A87" s="9">
        <v>86</v>
      </c>
      <c r="B87" s="25" t="s">
        <v>466</v>
      </c>
      <c r="C87" s="25"/>
      <c r="D87" s="12">
        <v>2</v>
      </c>
      <c r="E87" s="12" t="s">
        <v>20</v>
      </c>
      <c r="F87" s="11" t="s">
        <v>477</v>
      </c>
      <c r="G87" s="11" t="s">
        <v>484</v>
      </c>
      <c r="H87" s="11" t="s">
        <v>479</v>
      </c>
      <c r="I87" s="11" t="s">
        <v>477</v>
      </c>
      <c r="J87" s="11" t="s">
        <v>308</v>
      </c>
      <c r="K87" s="35"/>
      <c r="L87" s="35"/>
      <c r="M87" s="11" t="s">
        <v>480</v>
      </c>
      <c r="N87" s="15" t="s">
        <v>485</v>
      </c>
      <c r="O87" s="23"/>
      <c r="P87" s="7" t="s">
        <v>486</v>
      </c>
      <c r="Q87" s="15" t="s">
        <v>487</v>
      </c>
      <c r="R87" s="15"/>
      <c r="S87" s="8"/>
      <c r="T87" s="8"/>
      <c r="U87" s="8"/>
      <c r="V87" s="8"/>
      <c r="W87" s="8"/>
      <c r="X87" s="8"/>
      <c r="Y87" s="8"/>
      <c r="Z87" s="8"/>
      <c r="AA87" s="8"/>
      <c r="AB87" s="8"/>
    </row>
    <row r="88" spans="1:28" ht="106.5" customHeight="1" x14ac:dyDescent="0.25">
      <c r="A88" s="9">
        <v>87</v>
      </c>
      <c r="B88" s="25" t="s">
        <v>466</v>
      </c>
      <c r="C88" s="25"/>
      <c r="D88" s="12">
        <v>2</v>
      </c>
      <c r="E88" s="12" t="s">
        <v>20</v>
      </c>
      <c r="F88" s="11" t="s">
        <v>477</v>
      </c>
      <c r="G88" s="11" t="s">
        <v>488</v>
      </c>
      <c r="H88" s="11" t="s">
        <v>479</v>
      </c>
      <c r="I88" s="11" t="s">
        <v>477</v>
      </c>
      <c r="J88" s="11" t="s">
        <v>308</v>
      </c>
      <c r="K88" s="35"/>
      <c r="L88" s="35"/>
      <c r="M88" s="11" t="s">
        <v>480</v>
      </c>
      <c r="N88" s="15" t="s">
        <v>489</v>
      </c>
      <c r="O88" s="23"/>
      <c r="P88" s="7" t="s">
        <v>490</v>
      </c>
      <c r="Q88" s="15" t="s">
        <v>491</v>
      </c>
      <c r="R88" s="15"/>
      <c r="S88" s="8"/>
      <c r="T88" s="8"/>
      <c r="U88" s="8"/>
      <c r="V88" s="8"/>
      <c r="W88" s="8"/>
      <c r="X88" s="8"/>
      <c r="Y88" s="8"/>
      <c r="Z88" s="8"/>
      <c r="AA88" s="8"/>
      <c r="AB88" s="8"/>
    </row>
    <row r="89" spans="1:28" ht="106.5" customHeight="1" x14ac:dyDescent="0.25">
      <c r="A89" s="9">
        <v>88</v>
      </c>
      <c r="B89" s="25" t="s">
        <v>466</v>
      </c>
      <c r="C89" s="25"/>
      <c r="D89" s="12">
        <v>2</v>
      </c>
      <c r="E89" s="12" t="s">
        <v>20</v>
      </c>
      <c r="F89" s="11" t="s">
        <v>477</v>
      </c>
      <c r="G89" s="11" t="s">
        <v>492</v>
      </c>
      <c r="H89" s="11" t="s">
        <v>479</v>
      </c>
      <c r="I89" s="11" t="s">
        <v>477</v>
      </c>
      <c r="J89" s="11" t="s">
        <v>308</v>
      </c>
      <c r="K89" s="35"/>
      <c r="L89" s="35"/>
      <c r="M89" s="11" t="s">
        <v>480</v>
      </c>
      <c r="N89" s="15" t="s">
        <v>493</v>
      </c>
      <c r="O89" s="23"/>
      <c r="P89" s="7" t="s">
        <v>494</v>
      </c>
      <c r="Q89" s="15" t="s">
        <v>495</v>
      </c>
      <c r="R89" s="15"/>
      <c r="S89" s="8"/>
      <c r="T89" s="8"/>
      <c r="U89" s="8"/>
      <c r="V89" s="8"/>
      <c r="W89" s="8"/>
      <c r="X89" s="8"/>
      <c r="Y89" s="8"/>
      <c r="Z89" s="8"/>
      <c r="AA89" s="8"/>
      <c r="AB89" s="8"/>
    </row>
    <row r="90" spans="1:28" ht="106.5" customHeight="1" x14ac:dyDescent="0.25">
      <c r="A90" s="9">
        <v>89</v>
      </c>
      <c r="B90" s="25" t="s">
        <v>466</v>
      </c>
      <c r="C90" s="25"/>
      <c r="D90" s="12">
        <v>2</v>
      </c>
      <c r="E90" s="12" t="s">
        <v>20</v>
      </c>
      <c r="F90" s="11" t="s">
        <v>477</v>
      </c>
      <c r="G90" s="11" t="s">
        <v>496</v>
      </c>
      <c r="H90" s="11" t="s">
        <v>479</v>
      </c>
      <c r="I90" s="11" t="s">
        <v>477</v>
      </c>
      <c r="J90" s="11" t="s">
        <v>308</v>
      </c>
      <c r="K90" s="35"/>
      <c r="L90" s="35"/>
      <c r="M90" s="11" t="s">
        <v>480</v>
      </c>
      <c r="N90" s="15" t="s">
        <v>497</v>
      </c>
      <c r="O90" s="23"/>
      <c r="P90" s="7" t="s">
        <v>498</v>
      </c>
      <c r="Q90" s="15" t="s">
        <v>499</v>
      </c>
      <c r="R90" s="15"/>
      <c r="S90" s="8"/>
      <c r="T90" s="8"/>
      <c r="U90" s="8"/>
      <c r="V90" s="8"/>
      <c r="W90" s="8"/>
      <c r="X90" s="8"/>
      <c r="Y90" s="8"/>
      <c r="Z90" s="8"/>
      <c r="AA90" s="8"/>
      <c r="AB90" s="8"/>
    </row>
    <row r="91" spans="1:28" ht="106.5" customHeight="1" x14ac:dyDescent="0.25">
      <c r="A91" s="9">
        <v>90</v>
      </c>
      <c r="B91" s="25" t="s">
        <v>500</v>
      </c>
      <c r="C91" s="25"/>
      <c r="D91" s="12">
        <v>4</v>
      </c>
      <c r="E91" s="12" t="s">
        <v>20</v>
      </c>
      <c r="F91" s="11" t="s">
        <v>501</v>
      </c>
      <c r="G91" s="11" t="s">
        <v>502</v>
      </c>
      <c r="H91" s="11" t="s">
        <v>503</v>
      </c>
      <c r="I91" s="11" t="s">
        <v>504</v>
      </c>
      <c r="J91" s="11" t="s">
        <v>350</v>
      </c>
      <c r="K91" s="35"/>
      <c r="L91" s="35"/>
      <c r="M91" s="11" t="s">
        <v>505</v>
      </c>
      <c r="N91" s="15" t="s">
        <v>506</v>
      </c>
      <c r="O91" s="23"/>
      <c r="P91" s="7" t="s">
        <v>507</v>
      </c>
      <c r="Q91" s="15" t="s">
        <v>508</v>
      </c>
      <c r="R91" s="15"/>
      <c r="S91" s="8"/>
      <c r="T91" s="8"/>
      <c r="U91" s="8"/>
      <c r="V91" s="8"/>
      <c r="W91" s="8"/>
      <c r="X91" s="8"/>
      <c r="Y91" s="8"/>
      <c r="Z91" s="8"/>
      <c r="AA91" s="8"/>
      <c r="AB91" s="8"/>
    </row>
    <row r="92" spans="1:28" ht="106.5" customHeight="1" x14ac:dyDescent="0.25">
      <c r="A92" s="9">
        <v>91</v>
      </c>
      <c r="B92" s="25" t="s">
        <v>500</v>
      </c>
      <c r="C92" s="25"/>
      <c r="D92" s="12">
        <v>3</v>
      </c>
      <c r="E92" s="12" t="s">
        <v>20</v>
      </c>
      <c r="F92" s="11" t="s">
        <v>226</v>
      </c>
      <c r="G92" s="11" t="s">
        <v>509</v>
      </c>
      <c r="H92" s="11" t="s">
        <v>510</v>
      </c>
      <c r="I92" s="11" t="s">
        <v>511</v>
      </c>
      <c r="J92" s="11" t="s">
        <v>350</v>
      </c>
      <c r="K92" s="35"/>
      <c r="L92" s="35"/>
      <c r="M92" s="11" t="s">
        <v>512</v>
      </c>
      <c r="N92" s="15" t="s">
        <v>513</v>
      </c>
      <c r="O92" s="23"/>
      <c r="P92" s="7" t="s">
        <v>514</v>
      </c>
      <c r="Q92" s="15" t="s">
        <v>515</v>
      </c>
      <c r="R92" s="15"/>
      <c r="S92" s="8"/>
      <c r="T92" s="8"/>
      <c r="U92" s="8"/>
      <c r="V92" s="8"/>
      <c r="W92" s="8"/>
      <c r="X92" s="8"/>
      <c r="Y92" s="8"/>
      <c r="Z92" s="8"/>
      <c r="AA92" s="8"/>
      <c r="AB92" s="8"/>
    </row>
    <row r="93" spans="1:28" ht="106.5" customHeight="1" x14ac:dyDescent="0.25">
      <c r="A93" s="9">
        <v>92</v>
      </c>
      <c r="B93" s="25" t="s">
        <v>516</v>
      </c>
      <c r="C93" s="25"/>
      <c r="D93" s="12">
        <v>27</v>
      </c>
      <c r="E93" s="12" t="s">
        <v>20</v>
      </c>
      <c r="F93" s="11" t="s">
        <v>226</v>
      </c>
      <c r="G93" s="11" t="s">
        <v>517</v>
      </c>
      <c r="H93" s="11" t="s">
        <v>518</v>
      </c>
      <c r="I93" s="11" t="s">
        <v>511</v>
      </c>
      <c r="J93" s="11" t="s">
        <v>350</v>
      </c>
      <c r="K93" s="35"/>
      <c r="L93" s="35"/>
      <c r="M93" s="11" t="s">
        <v>519</v>
      </c>
      <c r="N93" s="15" t="s">
        <v>520</v>
      </c>
      <c r="O93" s="23"/>
      <c r="P93" s="7" t="s">
        <v>521</v>
      </c>
      <c r="Q93" s="15" t="s">
        <v>522</v>
      </c>
      <c r="R93" s="15"/>
      <c r="S93" s="8"/>
      <c r="T93" s="8"/>
      <c r="U93" s="8"/>
      <c r="V93" s="8"/>
      <c r="W93" s="8"/>
      <c r="X93" s="8"/>
      <c r="Y93" s="8"/>
      <c r="Z93" s="8"/>
      <c r="AA93" s="8"/>
      <c r="AB93" s="8"/>
    </row>
    <row r="94" spans="1:28" ht="14.25" customHeight="1" x14ac:dyDescent="0.25">
      <c r="A94" s="34">
        <v>65</v>
      </c>
      <c r="B94" s="24"/>
      <c r="C94" s="11"/>
      <c r="D94" s="12"/>
      <c r="E94" s="12"/>
      <c r="F94" s="11"/>
      <c r="G94" s="11"/>
      <c r="H94" s="24"/>
      <c r="I94" s="11"/>
      <c r="J94" s="11"/>
      <c r="K94" s="45"/>
      <c r="L94" s="46"/>
      <c r="M94" s="24"/>
      <c r="N94" s="33"/>
      <c r="O94" s="23"/>
      <c r="P94" s="7" t="s">
        <v>420</v>
      </c>
      <c r="Q94" s="8"/>
      <c r="R94" s="8"/>
      <c r="S94" s="8"/>
      <c r="T94" s="8"/>
      <c r="U94" s="8"/>
      <c r="V94" s="8"/>
      <c r="W94" s="8"/>
      <c r="X94" s="8"/>
      <c r="Y94" s="8"/>
      <c r="Z94" s="8"/>
      <c r="AA94" s="8"/>
      <c r="AB94" s="8"/>
    </row>
    <row r="95" spans="1:28" ht="14.25" customHeight="1" x14ac:dyDescent="0.25">
      <c r="A95" s="34">
        <v>66</v>
      </c>
      <c r="B95" s="24"/>
      <c r="C95" s="11"/>
      <c r="D95" s="12"/>
      <c r="E95" s="12"/>
      <c r="F95" s="11"/>
      <c r="G95" s="11"/>
      <c r="H95" s="24"/>
      <c r="I95" s="11"/>
      <c r="J95" s="11"/>
      <c r="K95" s="45"/>
      <c r="L95" s="46"/>
      <c r="M95" s="24"/>
      <c r="N95" s="33"/>
      <c r="O95" s="23"/>
      <c r="P95" s="7" t="s">
        <v>523</v>
      </c>
      <c r="Q95" s="8"/>
      <c r="R95" s="8"/>
      <c r="S95" s="8"/>
      <c r="T95" s="8"/>
      <c r="U95" s="8"/>
      <c r="V95" s="8"/>
      <c r="W95" s="8"/>
      <c r="X95" s="8"/>
      <c r="Y95" s="8"/>
      <c r="Z95" s="8"/>
      <c r="AA95" s="8"/>
      <c r="AB95" s="8"/>
    </row>
    <row r="96" spans="1:28" ht="14.25" customHeight="1" x14ac:dyDescent="0.25">
      <c r="A96" s="34">
        <v>67</v>
      </c>
      <c r="B96" s="24"/>
      <c r="C96" s="11"/>
      <c r="D96" s="12"/>
      <c r="E96" s="12"/>
      <c r="F96" s="11"/>
      <c r="G96" s="11"/>
      <c r="H96" s="24"/>
      <c r="I96" s="11"/>
      <c r="J96" s="11"/>
      <c r="K96" s="45"/>
      <c r="L96" s="46"/>
      <c r="M96" s="24"/>
      <c r="N96" s="33"/>
      <c r="O96" s="8"/>
      <c r="P96" s="7" t="s">
        <v>524</v>
      </c>
      <c r="Q96" s="8"/>
      <c r="R96" s="8"/>
      <c r="S96" s="8"/>
      <c r="T96" s="8"/>
      <c r="U96" s="8"/>
      <c r="V96" s="8"/>
      <c r="W96" s="8"/>
      <c r="X96" s="8"/>
      <c r="Y96" s="8"/>
      <c r="Z96" s="8"/>
      <c r="AA96" s="8"/>
      <c r="AB96" s="8"/>
    </row>
    <row r="97" spans="1:28" ht="14.25" customHeight="1" x14ac:dyDescent="0.25">
      <c r="A97" s="34">
        <v>68</v>
      </c>
      <c r="B97" s="24"/>
      <c r="C97" s="11"/>
      <c r="D97" s="12"/>
      <c r="E97" s="12"/>
      <c r="F97" s="11"/>
      <c r="G97" s="11"/>
      <c r="H97" s="24"/>
      <c r="I97" s="11"/>
      <c r="J97" s="11"/>
      <c r="K97" s="45"/>
      <c r="L97" s="46"/>
      <c r="M97" s="24"/>
      <c r="N97" s="33"/>
      <c r="O97" s="8"/>
      <c r="P97" s="7" t="s">
        <v>525</v>
      </c>
      <c r="Q97" s="8"/>
      <c r="R97" s="8"/>
      <c r="S97" s="8"/>
      <c r="T97" s="8"/>
      <c r="U97" s="8"/>
      <c r="V97" s="8"/>
      <c r="W97" s="8"/>
      <c r="X97" s="8"/>
      <c r="Y97" s="8"/>
      <c r="Z97" s="8"/>
      <c r="AA97" s="8"/>
      <c r="AB97" s="8"/>
    </row>
    <row r="98" spans="1:28" ht="14.25" customHeight="1" x14ac:dyDescent="0.25">
      <c r="A98" s="34">
        <v>69</v>
      </c>
      <c r="B98" s="24"/>
      <c r="C98" s="11"/>
      <c r="D98" s="12"/>
      <c r="E98" s="12"/>
      <c r="F98" s="11"/>
      <c r="G98" s="11"/>
      <c r="H98" s="24"/>
      <c r="I98" s="11"/>
      <c r="J98" s="11"/>
      <c r="K98" s="45"/>
      <c r="L98" s="46"/>
      <c r="M98" s="24"/>
      <c r="N98" s="33"/>
      <c r="O98" s="8"/>
      <c r="P98" s="7" t="s">
        <v>526</v>
      </c>
      <c r="Q98" s="8"/>
      <c r="R98" s="8"/>
      <c r="S98" s="8"/>
      <c r="T98" s="8"/>
      <c r="U98" s="8"/>
      <c r="V98" s="8"/>
      <c r="W98" s="8"/>
      <c r="X98" s="8"/>
      <c r="Y98" s="8"/>
      <c r="Z98" s="8"/>
      <c r="AA98" s="8"/>
      <c r="AB98" s="8"/>
    </row>
    <row r="99" spans="1:28" ht="14.25" customHeight="1" x14ac:dyDescent="0.25">
      <c r="A99" s="34">
        <v>70</v>
      </c>
      <c r="B99" s="24"/>
      <c r="C99" s="11"/>
      <c r="D99" s="12"/>
      <c r="E99" s="12"/>
      <c r="F99" s="11"/>
      <c r="G99" s="11"/>
      <c r="H99" s="24"/>
      <c r="I99" s="11"/>
      <c r="J99" s="11"/>
      <c r="K99" s="45"/>
      <c r="L99" s="46"/>
      <c r="M99" s="24"/>
      <c r="N99" s="33"/>
      <c r="O99" s="8"/>
      <c r="P99" s="7" t="s">
        <v>527</v>
      </c>
      <c r="Q99" s="8"/>
      <c r="R99" s="8"/>
      <c r="S99" s="8"/>
      <c r="T99" s="8"/>
      <c r="U99" s="8"/>
      <c r="V99" s="8"/>
      <c r="W99" s="8"/>
      <c r="X99" s="8"/>
      <c r="Y99" s="8"/>
      <c r="Z99" s="8"/>
      <c r="AA99" s="8"/>
      <c r="AB99" s="8"/>
    </row>
    <row r="100" spans="1:28" ht="14.25" customHeight="1" x14ac:dyDescent="0.25">
      <c r="A100" s="34">
        <v>71</v>
      </c>
      <c r="B100" s="24"/>
      <c r="C100" s="11"/>
      <c r="D100" s="12"/>
      <c r="E100" s="12"/>
      <c r="F100" s="11"/>
      <c r="G100" s="11"/>
      <c r="H100" s="24"/>
      <c r="I100" s="11"/>
      <c r="J100" s="11"/>
      <c r="K100" s="45"/>
      <c r="L100" s="46"/>
      <c r="M100" s="24"/>
      <c r="N100" s="33"/>
      <c r="O100" s="8"/>
      <c r="P100" s="7" t="s">
        <v>528</v>
      </c>
      <c r="Q100" s="8"/>
      <c r="R100" s="8"/>
      <c r="S100" s="8"/>
      <c r="T100" s="8"/>
      <c r="U100" s="8"/>
      <c r="V100" s="8"/>
      <c r="W100" s="8"/>
      <c r="X100" s="8"/>
      <c r="Y100" s="8"/>
      <c r="Z100" s="8"/>
      <c r="AA100" s="8"/>
      <c r="AB100" s="8"/>
    </row>
    <row r="101" spans="1:28" ht="14.25" customHeight="1" x14ac:dyDescent="0.25">
      <c r="A101" s="34">
        <v>72</v>
      </c>
      <c r="B101" s="24"/>
      <c r="C101" s="11"/>
      <c r="D101" s="12"/>
      <c r="E101" s="12"/>
      <c r="F101" s="11"/>
      <c r="G101" s="11"/>
      <c r="H101" s="24"/>
      <c r="I101" s="11"/>
      <c r="J101" s="11"/>
      <c r="K101" s="45"/>
      <c r="L101" s="46"/>
      <c r="M101" s="24"/>
      <c r="N101" s="33"/>
      <c r="O101" s="8"/>
      <c r="P101" s="7" t="s">
        <v>529</v>
      </c>
      <c r="Q101" s="8"/>
      <c r="R101" s="8"/>
      <c r="S101" s="8"/>
      <c r="T101" s="8"/>
      <c r="U101" s="8"/>
      <c r="V101" s="8"/>
      <c r="W101" s="8"/>
      <c r="X101" s="8"/>
      <c r="Y101" s="8"/>
      <c r="Z101" s="8"/>
      <c r="AA101" s="8"/>
      <c r="AB101" s="8"/>
    </row>
    <row r="102" spans="1:28" ht="14.25" customHeight="1" x14ac:dyDescent="0.25">
      <c r="A102" s="34">
        <v>73</v>
      </c>
      <c r="B102" s="24"/>
      <c r="C102" s="11"/>
      <c r="D102" s="12"/>
      <c r="E102" s="12"/>
      <c r="F102" s="11"/>
      <c r="G102" s="11"/>
      <c r="H102" s="24"/>
      <c r="I102" s="11"/>
      <c r="J102" s="11"/>
      <c r="K102" s="45"/>
      <c r="L102" s="46"/>
      <c r="M102" s="24"/>
      <c r="N102" s="33"/>
      <c r="O102" s="8"/>
      <c r="P102" s="7" t="s">
        <v>530</v>
      </c>
      <c r="Q102" s="8"/>
      <c r="R102" s="8"/>
      <c r="S102" s="8"/>
      <c r="T102" s="8"/>
      <c r="U102" s="8"/>
      <c r="V102" s="8"/>
      <c r="W102" s="8"/>
      <c r="X102" s="8"/>
      <c r="Y102" s="8"/>
      <c r="Z102" s="8"/>
      <c r="AA102" s="8"/>
      <c r="AB102" s="8"/>
    </row>
    <row r="103" spans="1:28" ht="14.25" customHeight="1" x14ac:dyDescent="0.25">
      <c r="A103" s="34">
        <v>74</v>
      </c>
      <c r="B103" s="24"/>
      <c r="C103" s="11"/>
      <c r="D103" s="12"/>
      <c r="E103" s="12"/>
      <c r="F103" s="11"/>
      <c r="G103" s="11"/>
      <c r="H103" s="24"/>
      <c r="I103" s="11"/>
      <c r="J103" s="11"/>
      <c r="K103" s="45"/>
      <c r="L103" s="46"/>
      <c r="M103" s="24"/>
      <c r="N103" s="33"/>
      <c r="O103" s="8"/>
      <c r="P103" s="7" t="s">
        <v>531</v>
      </c>
      <c r="Q103" s="8"/>
      <c r="R103" s="8"/>
      <c r="S103" s="8"/>
      <c r="T103" s="8"/>
      <c r="U103" s="8"/>
      <c r="V103" s="8"/>
      <c r="W103" s="8"/>
      <c r="X103" s="8"/>
      <c r="Y103" s="8"/>
      <c r="Z103" s="8"/>
      <c r="AA103" s="8"/>
      <c r="AB103" s="8"/>
    </row>
    <row r="104" spans="1:28" ht="14.25" customHeight="1" x14ac:dyDescent="0.25">
      <c r="A104" s="34">
        <v>75</v>
      </c>
      <c r="B104" s="24"/>
      <c r="C104" s="11"/>
      <c r="D104" s="12"/>
      <c r="E104" s="12"/>
      <c r="F104" s="11"/>
      <c r="G104" s="11"/>
      <c r="H104" s="24"/>
      <c r="I104" s="11"/>
      <c r="J104" s="11"/>
      <c r="K104" s="45"/>
      <c r="L104" s="46"/>
      <c r="M104" s="24"/>
      <c r="N104" s="33"/>
      <c r="O104" s="8"/>
      <c r="P104" s="7" t="s">
        <v>532</v>
      </c>
      <c r="Q104" s="8"/>
      <c r="R104" s="8"/>
      <c r="S104" s="8"/>
      <c r="T104" s="8"/>
      <c r="U104" s="8"/>
      <c r="V104" s="8"/>
      <c r="W104" s="8"/>
      <c r="X104" s="8"/>
      <c r="Y104" s="8"/>
      <c r="Z104" s="8"/>
      <c r="AA104" s="8"/>
      <c r="AB104" s="8"/>
    </row>
    <row r="105" spans="1:28" ht="14.25" customHeight="1" x14ac:dyDescent="0.25">
      <c r="A105" s="34">
        <v>76</v>
      </c>
      <c r="B105" s="24"/>
      <c r="C105" s="11"/>
      <c r="D105" s="12"/>
      <c r="E105" s="12"/>
      <c r="F105" s="11"/>
      <c r="G105" s="11"/>
      <c r="H105" s="24"/>
      <c r="I105" s="11"/>
      <c r="J105" s="11"/>
      <c r="K105" s="45"/>
      <c r="L105" s="46"/>
      <c r="M105" s="24"/>
      <c r="N105" s="33"/>
      <c r="O105" s="8"/>
      <c r="P105" s="7" t="s">
        <v>533</v>
      </c>
      <c r="Q105" s="8"/>
      <c r="R105" s="8"/>
      <c r="S105" s="8"/>
      <c r="T105" s="8"/>
      <c r="U105" s="8"/>
      <c r="V105" s="8"/>
      <c r="W105" s="8"/>
      <c r="X105" s="8"/>
      <c r="Y105" s="8"/>
      <c r="Z105" s="8"/>
      <c r="AA105" s="8"/>
      <c r="AB105" s="8"/>
    </row>
    <row r="106" spans="1:28" ht="14.25" customHeight="1" x14ac:dyDescent="0.25">
      <c r="A106" s="34">
        <v>77</v>
      </c>
      <c r="B106" s="24"/>
      <c r="C106" s="11"/>
      <c r="D106" s="12"/>
      <c r="E106" s="12"/>
      <c r="F106" s="11"/>
      <c r="G106" s="11"/>
      <c r="H106" s="24"/>
      <c r="I106" s="11"/>
      <c r="J106" s="11"/>
      <c r="K106" s="45"/>
      <c r="L106" s="46"/>
      <c r="M106" s="24"/>
      <c r="N106" s="33"/>
      <c r="O106" s="8"/>
      <c r="P106" s="7" t="s">
        <v>534</v>
      </c>
      <c r="Q106" s="8"/>
      <c r="R106" s="8"/>
      <c r="S106" s="8"/>
      <c r="T106" s="8"/>
      <c r="U106" s="8"/>
      <c r="V106" s="8"/>
      <c r="W106" s="8"/>
      <c r="X106" s="8"/>
      <c r="Y106" s="8"/>
      <c r="Z106" s="8"/>
      <c r="AA106" s="8"/>
      <c r="AB106" s="8"/>
    </row>
    <row r="107" spans="1:28" ht="14.25" customHeight="1" x14ac:dyDescent="0.25">
      <c r="A107" s="34">
        <v>78</v>
      </c>
      <c r="B107" s="24"/>
      <c r="C107" s="11"/>
      <c r="D107" s="12"/>
      <c r="E107" s="12"/>
      <c r="F107" s="11"/>
      <c r="G107" s="11"/>
      <c r="H107" s="24"/>
      <c r="I107" s="11"/>
      <c r="J107" s="11"/>
      <c r="K107" s="45"/>
      <c r="L107" s="46"/>
      <c r="M107" s="24"/>
      <c r="N107" s="33"/>
      <c r="O107" s="8"/>
      <c r="P107" s="7" t="s">
        <v>535</v>
      </c>
      <c r="Q107" s="8"/>
      <c r="R107" s="8"/>
      <c r="S107" s="8"/>
      <c r="T107" s="8"/>
      <c r="U107" s="8"/>
      <c r="V107" s="8"/>
      <c r="W107" s="8"/>
      <c r="X107" s="8"/>
      <c r="Y107" s="8"/>
      <c r="Z107" s="8"/>
      <c r="AA107" s="8"/>
      <c r="AB107" s="8"/>
    </row>
    <row r="108" spans="1:28" ht="14.25" customHeight="1" x14ac:dyDescent="0.25">
      <c r="A108" s="34">
        <v>79</v>
      </c>
      <c r="B108" s="24"/>
      <c r="C108" s="11"/>
      <c r="D108" s="12"/>
      <c r="E108" s="12"/>
      <c r="F108" s="11"/>
      <c r="G108" s="11"/>
      <c r="H108" s="24"/>
      <c r="I108" s="11"/>
      <c r="J108" s="11"/>
      <c r="K108" s="45"/>
      <c r="L108" s="46"/>
      <c r="M108" s="24"/>
      <c r="N108" s="33"/>
      <c r="O108" s="8"/>
      <c r="P108" s="7" t="s">
        <v>536</v>
      </c>
      <c r="Q108" s="8"/>
      <c r="R108" s="8"/>
      <c r="S108" s="8"/>
      <c r="T108" s="8"/>
      <c r="U108" s="8"/>
      <c r="V108" s="8"/>
      <c r="W108" s="8"/>
      <c r="X108" s="8"/>
      <c r="Y108" s="8"/>
      <c r="Z108" s="8"/>
      <c r="AA108" s="8"/>
      <c r="AB108" s="8"/>
    </row>
    <row r="109" spans="1:28" ht="14.25" customHeight="1" x14ac:dyDescent="0.25">
      <c r="A109" s="34">
        <v>80</v>
      </c>
      <c r="B109" s="24"/>
      <c r="C109" s="11"/>
      <c r="D109" s="12"/>
      <c r="E109" s="12"/>
      <c r="F109" s="11"/>
      <c r="G109" s="11"/>
      <c r="H109" s="24"/>
      <c r="I109" s="11"/>
      <c r="J109" s="11"/>
      <c r="K109" s="45"/>
      <c r="L109" s="46"/>
      <c r="M109" s="24"/>
      <c r="N109" s="33"/>
      <c r="O109" s="8"/>
      <c r="P109" s="7" t="s">
        <v>537</v>
      </c>
      <c r="Q109" s="8"/>
      <c r="R109" s="8"/>
      <c r="S109" s="8"/>
      <c r="T109" s="8"/>
      <c r="U109" s="8"/>
      <c r="V109" s="8"/>
      <c r="W109" s="8"/>
      <c r="X109" s="8"/>
      <c r="Y109" s="8"/>
      <c r="Z109" s="8"/>
      <c r="AA109" s="8"/>
      <c r="AB109" s="8"/>
    </row>
    <row r="110" spans="1:28" ht="14.25" customHeight="1" x14ac:dyDescent="0.25">
      <c r="A110" s="34">
        <v>81</v>
      </c>
      <c r="B110" s="24"/>
      <c r="C110" s="11"/>
      <c r="D110" s="12"/>
      <c r="E110" s="12"/>
      <c r="F110" s="11"/>
      <c r="G110" s="11"/>
      <c r="H110" s="24"/>
      <c r="I110" s="11"/>
      <c r="J110" s="11"/>
      <c r="K110" s="45"/>
      <c r="L110" s="46"/>
      <c r="M110" s="24"/>
      <c r="N110" s="33"/>
      <c r="O110" s="8"/>
      <c r="P110" s="7" t="s">
        <v>538</v>
      </c>
      <c r="Q110" s="8"/>
      <c r="R110" s="8"/>
      <c r="S110" s="8"/>
      <c r="T110" s="8"/>
      <c r="U110" s="8"/>
      <c r="V110" s="8"/>
      <c r="W110" s="8"/>
      <c r="X110" s="8"/>
      <c r="Y110" s="8"/>
      <c r="Z110" s="8"/>
      <c r="AA110" s="8"/>
      <c r="AB110" s="8"/>
    </row>
    <row r="111" spans="1:28" ht="14.25" customHeight="1" x14ac:dyDescent="0.25">
      <c r="A111" s="34">
        <v>82</v>
      </c>
      <c r="B111" s="24"/>
      <c r="C111" s="11"/>
      <c r="D111" s="12"/>
      <c r="E111" s="12"/>
      <c r="F111" s="11"/>
      <c r="G111" s="11"/>
      <c r="H111" s="24"/>
      <c r="I111" s="11"/>
      <c r="J111" s="11"/>
      <c r="K111" s="45"/>
      <c r="L111" s="46"/>
      <c r="M111" s="24"/>
      <c r="N111" s="33"/>
      <c r="O111" s="8"/>
      <c r="P111" s="7" t="s">
        <v>539</v>
      </c>
      <c r="Q111" s="8"/>
      <c r="R111" s="8"/>
      <c r="S111" s="8"/>
      <c r="T111" s="8"/>
      <c r="U111" s="8"/>
      <c r="V111" s="8"/>
      <c r="W111" s="8"/>
      <c r="X111" s="8"/>
      <c r="Y111" s="8"/>
      <c r="Z111" s="8"/>
      <c r="AA111" s="8"/>
      <c r="AB111" s="8"/>
    </row>
    <row r="112" spans="1:28" ht="14.25" customHeight="1" x14ac:dyDescent="0.25">
      <c r="A112" s="34">
        <v>83</v>
      </c>
      <c r="B112" s="24"/>
      <c r="C112" s="11"/>
      <c r="D112" s="12"/>
      <c r="E112" s="12"/>
      <c r="F112" s="11"/>
      <c r="G112" s="11"/>
      <c r="H112" s="24"/>
      <c r="I112" s="11"/>
      <c r="J112" s="11"/>
      <c r="K112" s="45"/>
      <c r="L112" s="46"/>
      <c r="M112" s="24"/>
      <c r="N112" s="33"/>
      <c r="O112" s="8"/>
      <c r="P112" s="7" t="s">
        <v>540</v>
      </c>
      <c r="Q112" s="8"/>
      <c r="R112" s="8"/>
      <c r="S112" s="8"/>
      <c r="T112" s="8"/>
      <c r="U112" s="8"/>
      <c r="V112" s="8"/>
      <c r="W112" s="8"/>
      <c r="X112" s="8"/>
      <c r="Y112" s="8"/>
      <c r="Z112" s="8"/>
      <c r="AA112" s="8"/>
      <c r="AB112" s="8"/>
    </row>
    <row r="113" spans="1:28" ht="14.25" customHeight="1" x14ac:dyDescent="0.25">
      <c r="A113" s="34">
        <v>84</v>
      </c>
      <c r="B113" s="24"/>
      <c r="C113" s="11"/>
      <c r="D113" s="12"/>
      <c r="E113" s="12"/>
      <c r="F113" s="11"/>
      <c r="G113" s="11"/>
      <c r="H113" s="24"/>
      <c r="I113" s="11"/>
      <c r="J113" s="11"/>
      <c r="K113" s="45"/>
      <c r="L113" s="46"/>
      <c r="M113" s="24"/>
      <c r="N113" s="33"/>
      <c r="O113" s="8"/>
      <c r="P113" s="7" t="s">
        <v>541</v>
      </c>
      <c r="Q113" s="8"/>
      <c r="R113" s="8"/>
      <c r="S113" s="8"/>
      <c r="T113" s="8"/>
      <c r="U113" s="8"/>
      <c r="V113" s="8"/>
      <c r="W113" s="8"/>
      <c r="X113" s="8"/>
      <c r="Y113" s="8"/>
      <c r="Z113" s="8"/>
      <c r="AA113" s="8"/>
      <c r="AB113" s="8"/>
    </row>
    <row r="114" spans="1:28" ht="14.25" customHeight="1" x14ac:dyDescent="0.25">
      <c r="A114" s="34">
        <v>85</v>
      </c>
      <c r="B114" s="24"/>
      <c r="C114" s="11"/>
      <c r="D114" s="12"/>
      <c r="E114" s="12"/>
      <c r="F114" s="11"/>
      <c r="G114" s="11"/>
      <c r="H114" s="24"/>
      <c r="I114" s="11"/>
      <c r="J114" s="11"/>
      <c r="K114" s="45"/>
      <c r="L114" s="46"/>
      <c r="M114" s="24"/>
      <c r="N114" s="33"/>
      <c r="O114" s="8"/>
      <c r="P114" s="7" t="s">
        <v>542</v>
      </c>
      <c r="Q114" s="8"/>
      <c r="R114" s="8"/>
      <c r="S114" s="8"/>
      <c r="T114" s="8"/>
      <c r="U114" s="8"/>
      <c r="V114" s="8"/>
      <c r="W114" s="8"/>
      <c r="X114" s="8"/>
      <c r="Y114" s="8"/>
      <c r="Z114" s="8"/>
      <c r="AA114" s="8"/>
      <c r="AB114" s="8"/>
    </row>
    <row r="115" spans="1:28" ht="14.25" customHeight="1" x14ac:dyDescent="0.25">
      <c r="A115" s="34">
        <v>86</v>
      </c>
      <c r="B115" s="24"/>
      <c r="C115" s="11"/>
      <c r="D115" s="12"/>
      <c r="E115" s="12"/>
      <c r="F115" s="11"/>
      <c r="G115" s="11"/>
      <c r="H115" s="24"/>
      <c r="I115" s="11"/>
      <c r="J115" s="11"/>
      <c r="K115" s="45"/>
      <c r="L115" s="46"/>
      <c r="M115" s="24"/>
      <c r="N115" s="33"/>
      <c r="O115" s="8"/>
      <c r="P115" s="7" t="s">
        <v>543</v>
      </c>
      <c r="Q115" s="8"/>
      <c r="R115" s="8"/>
      <c r="S115" s="8"/>
      <c r="T115" s="8"/>
      <c r="U115" s="8"/>
      <c r="V115" s="8"/>
      <c r="W115" s="8"/>
      <c r="X115" s="8"/>
      <c r="Y115" s="8"/>
      <c r="Z115" s="8"/>
      <c r="AA115" s="8"/>
      <c r="AB115" s="8"/>
    </row>
    <row r="116" spans="1:28" ht="14.25" customHeight="1" x14ac:dyDescent="0.25">
      <c r="A116" s="34">
        <v>87</v>
      </c>
      <c r="B116" s="24"/>
      <c r="C116" s="11"/>
      <c r="D116" s="12"/>
      <c r="E116" s="12"/>
      <c r="F116" s="11"/>
      <c r="G116" s="11"/>
      <c r="H116" s="24"/>
      <c r="I116" s="11"/>
      <c r="J116" s="11"/>
      <c r="K116" s="45"/>
      <c r="L116" s="46"/>
      <c r="M116" s="24"/>
      <c r="N116" s="33"/>
      <c r="O116" s="8"/>
      <c r="P116" s="7" t="s">
        <v>544</v>
      </c>
      <c r="Q116" s="8"/>
      <c r="R116" s="8"/>
      <c r="S116" s="8"/>
      <c r="T116" s="8"/>
      <c r="U116" s="8"/>
      <c r="V116" s="8"/>
      <c r="W116" s="8"/>
      <c r="X116" s="8"/>
      <c r="Y116" s="8"/>
      <c r="Z116" s="8"/>
      <c r="AA116" s="8"/>
      <c r="AB116" s="8"/>
    </row>
    <row r="117" spans="1:28" ht="14.25" customHeight="1" x14ac:dyDescent="0.25">
      <c r="A117" s="34">
        <v>88</v>
      </c>
      <c r="B117" s="24"/>
      <c r="C117" s="11"/>
      <c r="D117" s="12"/>
      <c r="E117" s="12"/>
      <c r="F117" s="11"/>
      <c r="G117" s="11"/>
      <c r="H117" s="24"/>
      <c r="I117" s="11"/>
      <c r="J117" s="11"/>
      <c r="K117" s="45"/>
      <c r="L117" s="46"/>
      <c r="M117" s="24"/>
      <c r="N117" s="24"/>
      <c r="O117" s="8"/>
      <c r="P117" s="7" t="s">
        <v>545</v>
      </c>
      <c r="Q117" s="8"/>
      <c r="R117" s="8"/>
      <c r="S117" s="8"/>
      <c r="T117" s="8"/>
      <c r="U117" s="8"/>
      <c r="V117" s="8"/>
      <c r="W117" s="8"/>
      <c r="X117" s="8"/>
      <c r="Y117" s="8"/>
      <c r="Z117" s="8"/>
      <c r="AA117" s="8"/>
      <c r="AB117" s="8"/>
    </row>
    <row r="118" spans="1:28" ht="14.25" customHeight="1" x14ac:dyDescent="0.25">
      <c r="A118" s="34">
        <v>89</v>
      </c>
      <c r="B118" s="24"/>
      <c r="C118" s="11"/>
      <c r="D118" s="12"/>
      <c r="E118" s="12"/>
      <c r="F118" s="11"/>
      <c r="G118" s="11"/>
      <c r="H118" s="24"/>
      <c r="I118" s="11"/>
      <c r="J118" s="11"/>
      <c r="K118" s="45"/>
      <c r="L118" s="46"/>
      <c r="M118" s="24"/>
      <c r="N118" s="24"/>
      <c r="O118" s="8"/>
      <c r="P118" s="7" t="s">
        <v>546</v>
      </c>
      <c r="Q118" s="8"/>
      <c r="R118" s="8"/>
      <c r="S118" s="8"/>
      <c r="T118" s="8"/>
      <c r="U118" s="8"/>
      <c r="V118" s="8"/>
      <c r="W118" s="8"/>
      <c r="X118" s="8"/>
      <c r="Y118" s="8"/>
      <c r="Z118" s="8"/>
      <c r="AA118" s="8"/>
      <c r="AB118" s="8"/>
    </row>
    <row r="119" spans="1:28" ht="14.25" customHeight="1" x14ac:dyDescent="0.25">
      <c r="A119" s="34">
        <v>90</v>
      </c>
      <c r="B119" s="24"/>
      <c r="C119" s="11"/>
      <c r="D119" s="12"/>
      <c r="E119" s="12"/>
      <c r="F119" s="11"/>
      <c r="G119" s="11"/>
      <c r="H119" s="24"/>
      <c r="I119" s="11"/>
      <c r="J119" s="11"/>
      <c r="K119" s="45"/>
      <c r="L119" s="46"/>
      <c r="M119" s="24"/>
      <c r="N119" s="24"/>
      <c r="O119" s="8"/>
      <c r="P119" s="7" t="s">
        <v>547</v>
      </c>
      <c r="Q119" s="8"/>
      <c r="R119" s="8"/>
      <c r="S119" s="8"/>
      <c r="T119" s="8"/>
      <c r="U119" s="8"/>
      <c r="V119" s="8"/>
      <c r="W119" s="8"/>
      <c r="X119" s="8"/>
      <c r="Y119" s="8"/>
      <c r="Z119" s="8"/>
      <c r="AA119" s="8"/>
      <c r="AB119" s="8"/>
    </row>
    <row r="120" spans="1:28" ht="14.25" customHeight="1" x14ac:dyDescent="0.25">
      <c r="A120" s="34">
        <v>91</v>
      </c>
      <c r="B120" s="24"/>
      <c r="C120" s="11"/>
      <c r="D120" s="12"/>
      <c r="E120" s="12"/>
      <c r="F120" s="11"/>
      <c r="G120" s="11"/>
      <c r="H120" s="24"/>
      <c r="I120" s="11"/>
      <c r="J120" s="11"/>
      <c r="K120" s="45"/>
      <c r="L120" s="46"/>
      <c r="M120" s="24"/>
      <c r="N120" s="24"/>
      <c r="O120" s="8"/>
      <c r="P120" s="7" t="s">
        <v>548</v>
      </c>
      <c r="Q120" s="8"/>
      <c r="R120" s="8"/>
      <c r="S120" s="8"/>
      <c r="T120" s="8"/>
      <c r="U120" s="8"/>
      <c r="V120" s="8"/>
      <c r="W120" s="8"/>
      <c r="X120" s="8"/>
      <c r="Y120" s="8"/>
      <c r="Z120" s="8"/>
      <c r="AA120" s="8"/>
      <c r="AB120" s="8"/>
    </row>
    <row r="121" spans="1:28" ht="14.25" customHeight="1" x14ac:dyDescent="0.25">
      <c r="A121" s="34">
        <v>92</v>
      </c>
      <c r="B121" s="24"/>
      <c r="C121" s="11"/>
      <c r="D121" s="12"/>
      <c r="E121" s="12"/>
      <c r="F121" s="11"/>
      <c r="G121" s="11"/>
      <c r="H121" s="24"/>
      <c r="I121" s="11"/>
      <c r="J121" s="11"/>
      <c r="K121" s="45"/>
      <c r="L121" s="46"/>
      <c r="M121" s="24"/>
      <c r="N121" s="24"/>
      <c r="O121" s="8"/>
      <c r="P121" s="7" t="s">
        <v>549</v>
      </c>
      <c r="Q121" s="8"/>
      <c r="R121" s="8"/>
      <c r="S121" s="8"/>
      <c r="T121" s="8"/>
      <c r="U121" s="8"/>
      <c r="V121" s="8"/>
      <c r="W121" s="8"/>
      <c r="X121" s="8"/>
      <c r="Y121" s="8"/>
      <c r="Z121" s="8"/>
      <c r="AA121" s="8"/>
      <c r="AB121" s="8"/>
    </row>
    <row r="122" spans="1:28" ht="14.25" customHeight="1" x14ac:dyDescent="0.25">
      <c r="A122" s="34">
        <v>93</v>
      </c>
      <c r="B122" s="24"/>
      <c r="C122" s="11"/>
      <c r="D122" s="12"/>
      <c r="E122" s="12"/>
      <c r="F122" s="11"/>
      <c r="G122" s="11"/>
      <c r="H122" s="24"/>
      <c r="I122" s="11"/>
      <c r="J122" s="11"/>
      <c r="K122" s="45"/>
      <c r="L122" s="46"/>
      <c r="M122" s="24"/>
      <c r="N122" s="24"/>
      <c r="O122" s="8"/>
      <c r="P122" s="7" t="s">
        <v>550</v>
      </c>
      <c r="Q122" s="8"/>
      <c r="R122" s="8"/>
      <c r="S122" s="8"/>
      <c r="T122" s="8"/>
      <c r="U122" s="8"/>
      <c r="V122" s="8"/>
      <c r="W122" s="8"/>
      <c r="X122" s="8"/>
      <c r="Y122" s="8"/>
      <c r="Z122" s="8"/>
      <c r="AA122" s="8"/>
      <c r="AB122" s="8"/>
    </row>
    <row r="123" spans="1:28" ht="14.25" customHeight="1" x14ac:dyDescent="0.25">
      <c r="A123" s="34">
        <v>94</v>
      </c>
      <c r="B123" s="24"/>
      <c r="C123" s="11"/>
      <c r="D123" s="12"/>
      <c r="E123" s="12"/>
      <c r="F123" s="11"/>
      <c r="G123" s="11"/>
      <c r="H123" s="24"/>
      <c r="I123" s="11"/>
      <c r="J123" s="11"/>
      <c r="K123" s="45"/>
      <c r="L123" s="46"/>
      <c r="M123" s="24"/>
      <c r="N123" s="24"/>
      <c r="O123" s="8"/>
      <c r="P123" s="7" t="s">
        <v>551</v>
      </c>
      <c r="Q123" s="8"/>
      <c r="R123" s="8"/>
      <c r="S123" s="8"/>
      <c r="T123" s="8"/>
      <c r="U123" s="8"/>
      <c r="V123" s="8"/>
      <c r="W123" s="8"/>
      <c r="X123" s="8"/>
      <c r="Y123" s="8"/>
      <c r="Z123" s="8"/>
      <c r="AA123" s="8"/>
      <c r="AB123" s="8"/>
    </row>
    <row r="124" spans="1:28" ht="14.25" customHeight="1" x14ac:dyDescent="0.25">
      <c r="A124" s="34">
        <v>95</v>
      </c>
      <c r="B124" s="24"/>
      <c r="C124" s="11"/>
      <c r="D124" s="12"/>
      <c r="E124" s="12"/>
      <c r="F124" s="11"/>
      <c r="G124" s="11"/>
      <c r="H124" s="24"/>
      <c r="I124" s="11"/>
      <c r="J124" s="11"/>
      <c r="K124" s="45"/>
      <c r="L124" s="46"/>
      <c r="M124" s="24"/>
      <c r="N124" s="24"/>
      <c r="O124" s="8"/>
      <c r="P124" s="7" t="s">
        <v>552</v>
      </c>
      <c r="Q124" s="8"/>
      <c r="R124" s="8"/>
      <c r="S124" s="8"/>
      <c r="T124" s="8"/>
      <c r="U124" s="8"/>
      <c r="V124" s="8"/>
      <c r="W124" s="8"/>
      <c r="X124" s="8"/>
      <c r="Y124" s="8"/>
      <c r="Z124" s="8"/>
      <c r="AA124" s="8"/>
      <c r="AB124" s="8"/>
    </row>
    <row r="125" spans="1:28" ht="14.25" customHeight="1" x14ac:dyDescent="0.25">
      <c r="A125" s="34">
        <v>96</v>
      </c>
      <c r="B125" s="24"/>
      <c r="C125" s="11"/>
      <c r="D125" s="12"/>
      <c r="E125" s="12"/>
      <c r="F125" s="11"/>
      <c r="G125" s="11"/>
      <c r="H125" s="24"/>
      <c r="I125" s="11"/>
      <c r="J125" s="11"/>
      <c r="K125" s="45"/>
      <c r="L125" s="46"/>
      <c r="M125" s="24"/>
      <c r="N125" s="24"/>
      <c r="O125" s="8"/>
      <c r="P125" s="7" t="s">
        <v>553</v>
      </c>
      <c r="Q125" s="8"/>
      <c r="R125" s="8"/>
      <c r="S125" s="8"/>
      <c r="T125" s="8"/>
      <c r="U125" s="8"/>
      <c r="V125" s="8"/>
      <c r="W125" s="8"/>
      <c r="X125" s="8"/>
      <c r="Y125" s="8"/>
      <c r="Z125" s="8"/>
      <c r="AA125" s="8"/>
      <c r="AB125" s="8"/>
    </row>
    <row r="126" spans="1:28" ht="14.25" customHeight="1" x14ac:dyDescent="0.25">
      <c r="A126" s="34">
        <v>97</v>
      </c>
      <c r="B126" s="24"/>
      <c r="C126" s="11"/>
      <c r="D126" s="12"/>
      <c r="E126" s="12"/>
      <c r="F126" s="11"/>
      <c r="G126" s="11"/>
      <c r="H126" s="24"/>
      <c r="I126" s="11"/>
      <c r="J126" s="11"/>
      <c r="K126" s="45"/>
      <c r="L126" s="46"/>
      <c r="M126" s="24"/>
      <c r="N126" s="24"/>
      <c r="O126" s="8"/>
      <c r="P126" s="7" t="s">
        <v>554</v>
      </c>
      <c r="Q126" s="8"/>
      <c r="R126" s="8"/>
      <c r="S126" s="8"/>
      <c r="T126" s="8"/>
      <c r="U126" s="8"/>
      <c r="V126" s="8"/>
      <c r="W126" s="8"/>
      <c r="X126" s="8"/>
      <c r="Y126" s="8"/>
      <c r="Z126" s="8"/>
      <c r="AA126" s="8"/>
      <c r="AB126" s="8"/>
    </row>
    <row r="127" spans="1:28" ht="14.25" customHeight="1" x14ac:dyDescent="0.25">
      <c r="A127" s="34">
        <v>98</v>
      </c>
      <c r="B127" s="24"/>
      <c r="C127" s="11"/>
      <c r="D127" s="12"/>
      <c r="E127" s="12"/>
      <c r="F127" s="11"/>
      <c r="G127" s="11"/>
      <c r="H127" s="24"/>
      <c r="I127" s="11"/>
      <c r="J127" s="11"/>
      <c r="K127" s="45"/>
      <c r="L127" s="46"/>
      <c r="M127" s="24"/>
      <c r="N127" s="24"/>
      <c r="O127" s="8"/>
      <c r="P127" s="7" t="s">
        <v>555</v>
      </c>
      <c r="Q127" s="8"/>
      <c r="R127" s="8"/>
      <c r="S127" s="8"/>
      <c r="T127" s="8"/>
      <c r="U127" s="8"/>
      <c r="V127" s="8"/>
      <c r="W127" s="8"/>
      <c r="X127" s="8"/>
      <c r="Y127" s="8"/>
      <c r="Z127" s="8"/>
      <c r="AA127" s="8"/>
      <c r="AB127" s="8"/>
    </row>
    <row r="128" spans="1:28" ht="14.25" customHeight="1" x14ac:dyDescent="0.25">
      <c r="A128" s="34">
        <v>99</v>
      </c>
      <c r="B128" s="24"/>
      <c r="C128" s="11"/>
      <c r="D128" s="12"/>
      <c r="E128" s="12"/>
      <c r="F128" s="11"/>
      <c r="G128" s="11"/>
      <c r="H128" s="24"/>
      <c r="I128" s="11"/>
      <c r="J128" s="11"/>
      <c r="K128" s="45"/>
      <c r="L128" s="46"/>
      <c r="M128" s="24"/>
      <c r="N128" s="24"/>
      <c r="O128" s="8"/>
      <c r="P128" s="7" t="s">
        <v>556</v>
      </c>
      <c r="Q128" s="8"/>
      <c r="R128" s="8"/>
      <c r="S128" s="8"/>
      <c r="T128" s="8"/>
      <c r="U128" s="8"/>
      <c r="V128" s="8"/>
      <c r="W128" s="8"/>
      <c r="X128" s="8"/>
      <c r="Y128" s="8"/>
      <c r="Z128" s="8"/>
      <c r="AA128" s="8"/>
      <c r="AB128" s="8"/>
    </row>
    <row r="129" spans="1:28" ht="14.25" customHeight="1" x14ac:dyDescent="0.25">
      <c r="A129" s="34">
        <v>100</v>
      </c>
      <c r="B129" s="24"/>
      <c r="C129" s="11"/>
      <c r="D129" s="12"/>
      <c r="E129" s="12"/>
      <c r="F129" s="11"/>
      <c r="G129" s="11"/>
      <c r="H129" s="24"/>
      <c r="I129" s="11"/>
      <c r="J129" s="11"/>
      <c r="K129" s="45"/>
      <c r="L129" s="46"/>
      <c r="M129" s="24"/>
      <c r="N129" s="24"/>
      <c r="O129" s="8"/>
      <c r="P129" s="7" t="s">
        <v>557</v>
      </c>
      <c r="Q129" s="8"/>
      <c r="R129" s="8"/>
      <c r="S129" s="8"/>
      <c r="T129" s="8"/>
      <c r="U129" s="8"/>
      <c r="V129" s="8"/>
      <c r="W129" s="8"/>
      <c r="X129" s="8"/>
      <c r="Y129" s="8"/>
      <c r="Z129" s="8"/>
      <c r="AA129" s="8"/>
      <c r="AB129" s="8"/>
    </row>
    <row r="130" spans="1:28" ht="14.25" customHeight="1" x14ac:dyDescent="0.25">
      <c r="A130" s="34">
        <v>101</v>
      </c>
      <c r="B130" s="24"/>
      <c r="C130" s="11"/>
      <c r="D130" s="12"/>
      <c r="E130" s="12"/>
      <c r="F130" s="11"/>
      <c r="G130" s="11"/>
      <c r="H130" s="24"/>
      <c r="I130" s="11"/>
      <c r="J130" s="11"/>
      <c r="K130" s="45"/>
      <c r="L130" s="46"/>
      <c r="M130" s="24"/>
      <c r="N130" s="24"/>
      <c r="O130" s="8"/>
      <c r="P130" s="7" t="s">
        <v>558</v>
      </c>
      <c r="Q130" s="8"/>
      <c r="R130" s="8"/>
      <c r="S130" s="8"/>
      <c r="T130" s="8"/>
      <c r="U130" s="8"/>
      <c r="V130" s="8"/>
      <c r="W130" s="8"/>
      <c r="X130" s="8"/>
      <c r="Y130" s="8"/>
      <c r="Z130" s="8"/>
      <c r="AA130" s="8"/>
      <c r="AB130" s="8"/>
    </row>
    <row r="131" spans="1:28" ht="14.25" customHeight="1" x14ac:dyDescent="0.25">
      <c r="A131" s="34">
        <v>102</v>
      </c>
      <c r="B131" s="24"/>
      <c r="C131" s="11"/>
      <c r="D131" s="12"/>
      <c r="E131" s="12"/>
      <c r="F131" s="11"/>
      <c r="G131" s="11"/>
      <c r="H131" s="24"/>
      <c r="I131" s="11"/>
      <c r="J131" s="11"/>
      <c r="K131" s="45"/>
      <c r="L131" s="46"/>
      <c r="M131" s="24"/>
      <c r="N131" s="24"/>
      <c r="O131" s="8"/>
      <c r="P131" s="7" t="s">
        <v>559</v>
      </c>
      <c r="Q131" s="8"/>
      <c r="R131" s="8"/>
      <c r="S131" s="8"/>
      <c r="T131" s="8"/>
      <c r="U131" s="8"/>
      <c r="V131" s="8"/>
      <c r="W131" s="8"/>
      <c r="X131" s="8"/>
      <c r="Y131" s="8"/>
      <c r="Z131" s="8"/>
      <c r="AA131" s="8"/>
      <c r="AB131" s="8"/>
    </row>
    <row r="132" spans="1:28" ht="14.25" customHeight="1" x14ac:dyDescent="0.25">
      <c r="A132" s="34">
        <v>103</v>
      </c>
      <c r="B132" s="24"/>
      <c r="C132" s="11"/>
      <c r="D132" s="12"/>
      <c r="E132" s="12"/>
      <c r="F132" s="11"/>
      <c r="G132" s="11"/>
      <c r="H132" s="24"/>
      <c r="I132" s="11"/>
      <c r="J132" s="11"/>
      <c r="K132" s="45"/>
      <c r="L132" s="46"/>
      <c r="M132" s="24"/>
      <c r="N132" s="24"/>
      <c r="O132" s="8"/>
      <c r="P132" s="7" t="s">
        <v>560</v>
      </c>
      <c r="Q132" s="8"/>
      <c r="R132" s="8"/>
      <c r="S132" s="8"/>
      <c r="T132" s="8"/>
      <c r="U132" s="8"/>
      <c r="V132" s="8"/>
      <c r="W132" s="8"/>
      <c r="X132" s="8"/>
      <c r="Y132" s="8"/>
      <c r="Z132" s="8"/>
      <c r="AA132" s="8"/>
      <c r="AB132" s="8"/>
    </row>
    <row r="133" spans="1:28" ht="14.25" customHeight="1" x14ac:dyDescent="0.25">
      <c r="A133" s="34">
        <v>104</v>
      </c>
      <c r="B133" s="24"/>
      <c r="C133" s="11"/>
      <c r="D133" s="12"/>
      <c r="E133" s="12"/>
      <c r="F133" s="11"/>
      <c r="G133" s="11"/>
      <c r="H133" s="24"/>
      <c r="I133" s="11"/>
      <c r="J133" s="11"/>
      <c r="K133" s="45"/>
      <c r="L133" s="46"/>
      <c r="M133" s="24"/>
      <c r="N133" s="24"/>
      <c r="O133" s="8"/>
      <c r="P133" s="7" t="s">
        <v>561</v>
      </c>
      <c r="Q133" s="8"/>
      <c r="R133" s="8"/>
      <c r="S133" s="8"/>
      <c r="T133" s="8"/>
      <c r="U133" s="8"/>
      <c r="V133" s="8"/>
      <c r="W133" s="8"/>
      <c r="X133" s="8"/>
      <c r="Y133" s="8"/>
      <c r="Z133" s="8"/>
      <c r="AA133" s="8"/>
      <c r="AB133" s="8"/>
    </row>
    <row r="134" spans="1:28" ht="14.25" customHeight="1" x14ac:dyDescent="0.25">
      <c r="A134" s="34">
        <v>105</v>
      </c>
      <c r="B134" s="24"/>
      <c r="C134" s="11"/>
      <c r="D134" s="12"/>
      <c r="E134" s="12"/>
      <c r="F134" s="11"/>
      <c r="G134" s="11"/>
      <c r="H134" s="24"/>
      <c r="I134" s="11"/>
      <c r="J134" s="11"/>
      <c r="K134" s="45"/>
      <c r="L134" s="46"/>
      <c r="M134" s="24"/>
      <c r="N134" s="24"/>
      <c r="O134" s="8"/>
      <c r="P134" s="7" t="s">
        <v>562</v>
      </c>
      <c r="Q134" s="8"/>
      <c r="R134" s="8"/>
      <c r="S134" s="8"/>
      <c r="T134" s="8"/>
      <c r="U134" s="8"/>
      <c r="V134" s="8"/>
      <c r="W134" s="8"/>
      <c r="X134" s="8"/>
      <c r="Y134" s="8"/>
      <c r="Z134" s="8"/>
      <c r="AA134" s="8"/>
      <c r="AB134" s="8"/>
    </row>
    <row r="135" spans="1:28" ht="14.25" customHeight="1" x14ac:dyDescent="0.25">
      <c r="A135" s="34">
        <v>106</v>
      </c>
      <c r="B135" s="24"/>
      <c r="C135" s="11"/>
      <c r="D135" s="12"/>
      <c r="E135" s="12"/>
      <c r="F135" s="11"/>
      <c r="G135" s="11"/>
      <c r="H135" s="24"/>
      <c r="I135" s="11"/>
      <c r="J135" s="11"/>
      <c r="K135" s="45"/>
      <c r="L135" s="46"/>
      <c r="M135" s="24"/>
      <c r="N135" s="24"/>
      <c r="O135" s="8"/>
      <c r="P135" s="7" t="s">
        <v>563</v>
      </c>
      <c r="Q135" s="8"/>
      <c r="R135" s="8"/>
      <c r="S135" s="8"/>
      <c r="T135" s="8"/>
      <c r="U135" s="8"/>
      <c r="V135" s="8"/>
      <c r="W135" s="8"/>
      <c r="X135" s="8"/>
      <c r="Y135" s="8"/>
      <c r="Z135" s="8"/>
      <c r="AA135" s="8"/>
      <c r="AB135" s="8"/>
    </row>
    <row r="136" spans="1:28" ht="14.25" customHeight="1" x14ac:dyDescent="0.25">
      <c r="A136" s="34">
        <v>107</v>
      </c>
      <c r="B136" s="24"/>
      <c r="C136" s="11"/>
      <c r="D136" s="12"/>
      <c r="E136" s="12"/>
      <c r="F136" s="11"/>
      <c r="G136" s="11"/>
      <c r="H136" s="24"/>
      <c r="I136" s="11"/>
      <c r="J136" s="11"/>
      <c r="K136" s="45"/>
      <c r="L136" s="46"/>
      <c r="M136" s="24"/>
      <c r="N136" s="24"/>
      <c r="O136" s="8"/>
      <c r="P136" s="7" t="s">
        <v>564</v>
      </c>
      <c r="Q136" s="8"/>
      <c r="R136" s="8"/>
      <c r="S136" s="8"/>
      <c r="T136" s="8"/>
      <c r="U136" s="8"/>
      <c r="V136" s="8"/>
      <c r="W136" s="8"/>
      <c r="X136" s="8"/>
      <c r="Y136" s="8"/>
      <c r="Z136" s="8"/>
      <c r="AA136" s="8"/>
      <c r="AB136" s="8"/>
    </row>
    <row r="137" spans="1:28" ht="14.25" customHeight="1" x14ac:dyDescent="0.25">
      <c r="A137" s="34">
        <v>108</v>
      </c>
      <c r="B137" s="24"/>
      <c r="C137" s="11"/>
      <c r="D137" s="12"/>
      <c r="E137" s="12"/>
      <c r="F137" s="11"/>
      <c r="G137" s="11"/>
      <c r="H137" s="24"/>
      <c r="I137" s="11"/>
      <c r="J137" s="11"/>
      <c r="K137" s="45"/>
      <c r="L137" s="46"/>
      <c r="M137" s="24"/>
      <c r="N137" s="24"/>
      <c r="O137" s="8"/>
      <c r="P137" s="7" t="s">
        <v>565</v>
      </c>
      <c r="Q137" s="8"/>
      <c r="R137" s="8"/>
      <c r="S137" s="8"/>
      <c r="T137" s="8"/>
      <c r="U137" s="8"/>
      <c r="V137" s="8"/>
      <c r="W137" s="8"/>
      <c r="X137" s="8"/>
      <c r="Y137" s="8"/>
      <c r="Z137" s="8"/>
      <c r="AA137" s="8"/>
      <c r="AB137" s="8"/>
    </row>
    <row r="138" spans="1:28" ht="14.25" customHeight="1" x14ac:dyDescent="0.25">
      <c r="A138" s="34">
        <v>109</v>
      </c>
      <c r="B138" s="24"/>
      <c r="C138" s="11"/>
      <c r="D138" s="12"/>
      <c r="E138" s="12"/>
      <c r="F138" s="11"/>
      <c r="G138" s="11"/>
      <c r="H138" s="24"/>
      <c r="I138" s="11"/>
      <c r="J138" s="11"/>
      <c r="K138" s="45"/>
      <c r="L138" s="46"/>
      <c r="M138" s="24"/>
      <c r="N138" s="24"/>
      <c r="O138" s="8"/>
      <c r="P138" s="7" t="s">
        <v>566</v>
      </c>
      <c r="Q138" s="8"/>
      <c r="R138" s="8"/>
      <c r="S138" s="8"/>
      <c r="T138" s="8"/>
      <c r="U138" s="8"/>
      <c r="V138" s="8"/>
      <c r="W138" s="8"/>
      <c r="X138" s="8"/>
      <c r="Y138" s="8"/>
      <c r="Z138" s="8"/>
      <c r="AA138" s="8"/>
      <c r="AB138" s="8"/>
    </row>
    <row r="139" spans="1:28" ht="14.25" customHeight="1" x14ac:dyDescent="0.25">
      <c r="A139" s="34">
        <v>110</v>
      </c>
      <c r="B139" s="24"/>
      <c r="C139" s="11"/>
      <c r="D139" s="12"/>
      <c r="E139" s="12"/>
      <c r="F139" s="11"/>
      <c r="G139" s="11"/>
      <c r="H139" s="24"/>
      <c r="I139" s="11"/>
      <c r="J139" s="11"/>
      <c r="K139" s="45"/>
      <c r="L139" s="46"/>
      <c r="M139" s="24"/>
      <c r="N139" s="24"/>
      <c r="O139" s="8"/>
      <c r="P139" s="7" t="s">
        <v>567</v>
      </c>
      <c r="Q139" s="8"/>
      <c r="R139" s="8"/>
      <c r="S139" s="8"/>
      <c r="T139" s="8"/>
      <c r="U139" s="8"/>
      <c r="V139" s="8"/>
      <c r="W139" s="8"/>
      <c r="X139" s="8"/>
      <c r="Y139" s="8"/>
      <c r="Z139" s="8"/>
      <c r="AA139" s="8"/>
      <c r="AB139" s="8"/>
    </row>
    <row r="140" spans="1:28" ht="14.25" customHeight="1" x14ac:dyDescent="0.25">
      <c r="A140" s="34">
        <v>111</v>
      </c>
      <c r="B140" s="24"/>
      <c r="C140" s="11"/>
      <c r="D140" s="12"/>
      <c r="E140" s="12"/>
      <c r="F140" s="11"/>
      <c r="G140" s="11"/>
      <c r="H140" s="24"/>
      <c r="I140" s="11"/>
      <c r="J140" s="11"/>
      <c r="K140" s="45"/>
      <c r="L140" s="46"/>
      <c r="M140" s="24"/>
      <c r="N140" s="24"/>
      <c r="O140" s="8"/>
      <c r="P140" s="7" t="s">
        <v>568</v>
      </c>
      <c r="Q140" s="8"/>
      <c r="R140" s="8"/>
      <c r="S140" s="8"/>
      <c r="T140" s="8"/>
      <c r="U140" s="8"/>
      <c r="V140" s="8"/>
      <c r="W140" s="8"/>
      <c r="X140" s="8"/>
      <c r="Y140" s="8"/>
      <c r="Z140" s="8"/>
      <c r="AA140" s="8"/>
      <c r="AB140" s="8"/>
    </row>
    <row r="141" spans="1:28" ht="14.25" customHeight="1" x14ac:dyDescent="0.25">
      <c r="A141" s="34">
        <v>112</v>
      </c>
      <c r="B141" s="24"/>
      <c r="C141" s="11"/>
      <c r="D141" s="12"/>
      <c r="E141" s="12"/>
      <c r="F141" s="11"/>
      <c r="G141" s="11"/>
      <c r="H141" s="24"/>
      <c r="I141" s="11"/>
      <c r="J141" s="11"/>
      <c r="K141" s="45"/>
      <c r="L141" s="46"/>
      <c r="M141" s="24"/>
      <c r="N141" s="24"/>
      <c r="O141" s="8"/>
      <c r="P141" s="7" t="s">
        <v>569</v>
      </c>
      <c r="Q141" s="8"/>
      <c r="R141" s="8"/>
      <c r="S141" s="8"/>
      <c r="T141" s="8"/>
      <c r="U141" s="8"/>
      <c r="V141" s="8"/>
      <c r="W141" s="8"/>
      <c r="X141" s="8"/>
      <c r="Y141" s="8"/>
      <c r="Z141" s="8"/>
      <c r="AA141" s="8"/>
      <c r="AB141" s="8"/>
    </row>
    <row r="142" spans="1:28" ht="14.25" customHeight="1" x14ac:dyDescent="0.25">
      <c r="A142" s="34">
        <v>113</v>
      </c>
      <c r="B142" s="24"/>
      <c r="C142" s="11"/>
      <c r="D142" s="12"/>
      <c r="E142" s="12"/>
      <c r="F142" s="11"/>
      <c r="G142" s="11"/>
      <c r="H142" s="24"/>
      <c r="I142" s="11"/>
      <c r="J142" s="11"/>
      <c r="K142" s="45"/>
      <c r="L142" s="46"/>
      <c r="M142" s="24"/>
      <c r="N142" s="24"/>
      <c r="O142" s="8"/>
      <c r="P142" s="7" t="s">
        <v>570</v>
      </c>
      <c r="Q142" s="8"/>
      <c r="R142" s="8"/>
      <c r="S142" s="8"/>
      <c r="T142" s="8"/>
      <c r="U142" s="8"/>
      <c r="V142" s="8"/>
      <c r="W142" s="8"/>
      <c r="X142" s="8"/>
      <c r="Y142" s="8"/>
      <c r="Z142" s="8"/>
      <c r="AA142" s="8"/>
      <c r="AB142" s="8"/>
    </row>
    <row r="143" spans="1:28" ht="14.25" customHeight="1" x14ac:dyDescent="0.25">
      <c r="A143" s="34">
        <v>114</v>
      </c>
      <c r="B143" s="24"/>
      <c r="C143" s="11"/>
      <c r="D143" s="12"/>
      <c r="E143" s="12"/>
      <c r="F143" s="11"/>
      <c r="G143" s="11"/>
      <c r="H143" s="24"/>
      <c r="I143" s="11"/>
      <c r="J143" s="11"/>
      <c r="K143" s="45"/>
      <c r="L143" s="46"/>
      <c r="M143" s="24"/>
      <c r="N143" s="24"/>
      <c r="O143" s="8"/>
      <c r="P143" s="7" t="s">
        <v>571</v>
      </c>
      <c r="Q143" s="8"/>
      <c r="R143" s="8"/>
      <c r="S143" s="8"/>
      <c r="T143" s="8"/>
      <c r="U143" s="8"/>
      <c r="V143" s="8"/>
      <c r="W143" s="8"/>
      <c r="X143" s="8"/>
      <c r="Y143" s="8"/>
      <c r="Z143" s="8"/>
      <c r="AA143" s="8"/>
      <c r="AB143" s="8"/>
    </row>
    <row r="144" spans="1:28" ht="14.25" customHeight="1" x14ac:dyDescent="0.25">
      <c r="A144" s="34">
        <v>115</v>
      </c>
      <c r="B144" s="24"/>
      <c r="C144" s="11"/>
      <c r="D144" s="12"/>
      <c r="E144" s="12"/>
      <c r="F144" s="11"/>
      <c r="G144" s="11"/>
      <c r="H144" s="24"/>
      <c r="I144" s="11"/>
      <c r="J144" s="11"/>
      <c r="K144" s="45"/>
      <c r="L144" s="46"/>
      <c r="M144" s="24"/>
      <c r="N144" s="24"/>
      <c r="O144" s="8"/>
      <c r="P144" s="7" t="s">
        <v>572</v>
      </c>
      <c r="Q144" s="8"/>
      <c r="R144" s="8"/>
      <c r="S144" s="8"/>
      <c r="T144" s="8"/>
      <c r="U144" s="8"/>
      <c r="V144" s="8"/>
      <c r="W144" s="8"/>
      <c r="X144" s="8"/>
      <c r="Y144" s="8"/>
      <c r="Z144" s="8"/>
      <c r="AA144" s="8"/>
      <c r="AB144" s="8"/>
    </row>
    <row r="145" spans="1:28" ht="14.25" customHeight="1" x14ac:dyDescent="0.25">
      <c r="A145" s="34">
        <v>116</v>
      </c>
      <c r="B145" s="24"/>
      <c r="C145" s="11"/>
      <c r="D145" s="12"/>
      <c r="E145" s="12"/>
      <c r="F145" s="11"/>
      <c r="G145" s="11"/>
      <c r="H145" s="24"/>
      <c r="I145" s="11"/>
      <c r="J145" s="11"/>
      <c r="K145" s="45"/>
      <c r="L145" s="46"/>
      <c r="M145" s="24"/>
      <c r="N145" s="24"/>
      <c r="O145" s="8"/>
      <c r="P145" s="7" t="s">
        <v>573</v>
      </c>
      <c r="Q145" s="8"/>
      <c r="R145" s="8"/>
      <c r="S145" s="8"/>
      <c r="T145" s="8"/>
      <c r="U145" s="8"/>
      <c r="V145" s="8"/>
      <c r="W145" s="8"/>
      <c r="X145" s="8"/>
      <c r="Y145" s="8"/>
      <c r="Z145" s="8"/>
      <c r="AA145" s="8"/>
      <c r="AB145" s="8"/>
    </row>
    <row r="146" spans="1:28" ht="14.25" customHeight="1" x14ac:dyDescent="0.25">
      <c r="A146" s="34">
        <v>117</v>
      </c>
      <c r="B146" s="24"/>
      <c r="C146" s="11"/>
      <c r="D146" s="12"/>
      <c r="E146" s="12"/>
      <c r="F146" s="11"/>
      <c r="G146" s="11"/>
      <c r="H146" s="24"/>
      <c r="I146" s="11"/>
      <c r="J146" s="11"/>
      <c r="K146" s="45"/>
      <c r="L146" s="46"/>
      <c r="M146" s="24"/>
      <c r="N146" s="24"/>
      <c r="O146" s="8"/>
      <c r="P146" s="7" t="s">
        <v>574</v>
      </c>
      <c r="Q146" s="8"/>
      <c r="R146" s="8"/>
      <c r="S146" s="8"/>
      <c r="T146" s="8"/>
      <c r="U146" s="8"/>
      <c r="V146" s="8"/>
      <c r="W146" s="8"/>
      <c r="X146" s="8"/>
      <c r="Y146" s="8"/>
      <c r="Z146" s="8"/>
      <c r="AA146" s="8"/>
      <c r="AB146" s="8"/>
    </row>
    <row r="147" spans="1:28" ht="14.25" customHeight="1" x14ac:dyDescent="0.25">
      <c r="A147" s="34">
        <v>118</v>
      </c>
      <c r="B147" s="24"/>
      <c r="C147" s="11"/>
      <c r="D147" s="12"/>
      <c r="E147" s="12"/>
      <c r="F147" s="11"/>
      <c r="G147" s="11"/>
      <c r="H147" s="24"/>
      <c r="I147" s="11"/>
      <c r="J147" s="11"/>
      <c r="K147" s="45"/>
      <c r="L147" s="46"/>
      <c r="M147" s="24"/>
      <c r="N147" s="24"/>
      <c r="O147" s="8"/>
      <c r="P147" s="7" t="s">
        <v>575</v>
      </c>
      <c r="Q147" s="8"/>
      <c r="R147" s="8"/>
      <c r="S147" s="8"/>
      <c r="T147" s="8"/>
      <c r="U147" s="8"/>
      <c r="V147" s="8"/>
      <c r="W147" s="8"/>
      <c r="X147" s="8"/>
      <c r="Y147" s="8"/>
      <c r="Z147" s="8"/>
      <c r="AA147" s="8"/>
      <c r="AB147" s="8"/>
    </row>
    <row r="148" spans="1:28" ht="14.25" customHeight="1" x14ac:dyDescent="0.25">
      <c r="A148" s="34">
        <v>119</v>
      </c>
      <c r="B148" s="24"/>
      <c r="C148" s="11"/>
      <c r="D148" s="12"/>
      <c r="E148" s="12"/>
      <c r="F148" s="11"/>
      <c r="G148" s="11"/>
      <c r="H148" s="24"/>
      <c r="I148" s="11"/>
      <c r="J148" s="11"/>
      <c r="K148" s="45"/>
      <c r="L148" s="46"/>
      <c r="M148" s="24"/>
      <c r="N148" s="24"/>
      <c r="O148" s="8"/>
      <c r="P148" s="7" t="s">
        <v>576</v>
      </c>
      <c r="Q148" s="8"/>
      <c r="R148" s="8"/>
      <c r="S148" s="8"/>
      <c r="T148" s="8"/>
      <c r="U148" s="8"/>
      <c r="V148" s="8"/>
      <c r="W148" s="8"/>
      <c r="X148" s="8"/>
      <c r="Y148" s="8"/>
      <c r="Z148" s="8"/>
      <c r="AA148" s="8"/>
      <c r="AB148" s="8"/>
    </row>
    <row r="149" spans="1:28" ht="14.25" customHeight="1" x14ac:dyDescent="0.25">
      <c r="A149" s="34">
        <v>120</v>
      </c>
      <c r="B149" s="24"/>
      <c r="C149" s="11"/>
      <c r="D149" s="12"/>
      <c r="E149" s="12"/>
      <c r="F149" s="11"/>
      <c r="G149" s="11"/>
      <c r="H149" s="24"/>
      <c r="I149" s="11"/>
      <c r="J149" s="11"/>
      <c r="K149" s="45"/>
      <c r="L149" s="46"/>
      <c r="M149" s="24"/>
      <c r="N149" s="24"/>
      <c r="O149" s="8"/>
      <c r="P149" s="7" t="s">
        <v>577</v>
      </c>
      <c r="Q149" s="8"/>
      <c r="R149" s="8"/>
      <c r="S149" s="8"/>
      <c r="T149" s="8"/>
      <c r="U149" s="8"/>
      <c r="V149" s="8"/>
      <c r="W149" s="8"/>
      <c r="X149" s="8"/>
      <c r="Y149" s="8"/>
      <c r="Z149" s="8"/>
      <c r="AA149" s="8"/>
      <c r="AB149" s="8"/>
    </row>
    <row r="150" spans="1:28" ht="14.25" customHeight="1" x14ac:dyDescent="0.25">
      <c r="A150" s="34">
        <v>121</v>
      </c>
      <c r="B150" s="24"/>
      <c r="C150" s="11"/>
      <c r="D150" s="12"/>
      <c r="E150" s="12"/>
      <c r="F150" s="11"/>
      <c r="G150" s="11"/>
      <c r="H150" s="24"/>
      <c r="I150" s="11"/>
      <c r="J150" s="11"/>
      <c r="K150" s="45"/>
      <c r="L150" s="46"/>
      <c r="M150" s="24"/>
      <c r="N150" s="24"/>
      <c r="O150" s="8"/>
      <c r="P150" s="7" t="s">
        <v>578</v>
      </c>
      <c r="Q150" s="8"/>
      <c r="R150" s="8"/>
      <c r="S150" s="8"/>
      <c r="T150" s="8"/>
      <c r="U150" s="8"/>
      <c r="V150" s="8"/>
      <c r="W150" s="8"/>
      <c r="X150" s="8"/>
      <c r="Y150" s="8"/>
      <c r="Z150" s="8"/>
      <c r="AA150" s="8"/>
      <c r="AB150" s="8"/>
    </row>
    <row r="151" spans="1:28" ht="14.25" customHeight="1" x14ac:dyDescent="0.25">
      <c r="A151" s="34">
        <v>122</v>
      </c>
      <c r="B151" s="24"/>
      <c r="C151" s="11"/>
      <c r="D151" s="12"/>
      <c r="E151" s="12"/>
      <c r="F151" s="11"/>
      <c r="G151" s="11"/>
      <c r="H151" s="24"/>
      <c r="I151" s="11"/>
      <c r="J151" s="11"/>
      <c r="K151" s="45"/>
      <c r="L151" s="46"/>
      <c r="M151" s="24"/>
      <c r="N151" s="24"/>
      <c r="O151" s="8"/>
      <c r="P151" s="7" t="s">
        <v>579</v>
      </c>
      <c r="Q151" s="8"/>
      <c r="R151" s="8"/>
      <c r="S151" s="8"/>
      <c r="T151" s="8"/>
      <c r="U151" s="8"/>
      <c r="V151" s="8"/>
      <c r="W151" s="8"/>
      <c r="X151" s="8"/>
      <c r="Y151" s="8"/>
      <c r="Z151" s="8"/>
      <c r="AA151" s="8"/>
      <c r="AB151" s="8"/>
    </row>
    <row r="152" spans="1:28" ht="14.25" customHeight="1" x14ac:dyDescent="0.25">
      <c r="A152" s="34">
        <v>123</v>
      </c>
      <c r="B152" s="24"/>
      <c r="C152" s="11"/>
      <c r="D152" s="12"/>
      <c r="E152" s="12"/>
      <c r="F152" s="11"/>
      <c r="G152" s="11"/>
      <c r="H152" s="24"/>
      <c r="I152" s="11"/>
      <c r="J152" s="11"/>
      <c r="K152" s="45"/>
      <c r="L152" s="46"/>
      <c r="M152" s="24"/>
      <c r="N152" s="24"/>
      <c r="O152" s="8"/>
      <c r="P152" s="7" t="s">
        <v>580</v>
      </c>
      <c r="Q152" s="8"/>
      <c r="R152" s="8"/>
      <c r="S152" s="8"/>
      <c r="T152" s="8"/>
      <c r="U152" s="8"/>
      <c r="V152" s="8"/>
      <c r="W152" s="8"/>
      <c r="X152" s="8"/>
      <c r="Y152" s="8"/>
      <c r="Z152" s="8"/>
      <c r="AA152" s="8"/>
      <c r="AB152" s="8"/>
    </row>
    <row r="153" spans="1:28" ht="14.25" customHeight="1" x14ac:dyDescent="0.25">
      <c r="A153" s="34">
        <v>124</v>
      </c>
      <c r="B153" s="24"/>
      <c r="C153" s="11"/>
      <c r="D153" s="12"/>
      <c r="E153" s="12"/>
      <c r="F153" s="11"/>
      <c r="G153" s="11"/>
      <c r="H153" s="24"/>
      <c r="I153" s="11"/>
      <c r="J153" s="11"/>
      <c r="K153" s="45"/>
      <c r="L153" s="46"/>
      <c r="M153" s="24"/>
      <c r="N153" s="24"/>
      <c r="O153" s="8"/>
      <c r="P153" s="7" t="s">
        <v>581</v>
      </c>
      <c r="Q153" s="8"/>
      <c r="R153" s="8"/>
      <c r="S153" s="8"/>
      <c r="T153" s="8"/>
      <c r="U153" s="8"/>
      <c r="V153" s="8"/>
      <c r="W153" s="8"/>
      <c r="X153" s="8"/>
      <c r="Y153" s="8"/>
      <c r="Z153" s="8"/>
      <c r="AA153" s="8"/>
      <c r="AB153" s="8"/>
    </row>
    <row r="154" spans="1:28" ht="14.25" customHeight="1" x14ac:dyDescent="0.25">
      <c r="A154" s="34">
        <v>125</v>
      </c>
      <c r="B154" s="24"/>
      <c r="C154" s="11"/>
      <c r="D154" s="12"/>
      <c r="E154" s="12"/>
      <c r="F154" s="11"/>
      <c r="G154" s="11"/>
      <c r="H154" s="24"/>
      <c r="I154" s="11"/>
      <c r="J154" s="11"/>
      <c r="K154" s="45"/>
      <c r="L154" s="46"/>
      <c r="M154" s="24"/>
      <c r="N154" s="24"/>
      <c r="O154" s="8"/>
      <c r="P154" s="7" t="s">
        <v>582</v>
      </c>
      <c r="Q154" s="8"/>
      <c r="R154" s="8"/>
      <c r="S154" s="8"/>
      <c r="T154" s="8"/>
      <c r="U154" s="8"/>
      <c r="V154" s="8"/>
      <c r="W154" s="8"/>
      <c r="X154" s="8"/>
      <c r="Y154" s="8"/>
      <c r="Z154" s="8"/>
      <c r="AA154" s="8"/>
      <c r="AB154" s="8"/>
    </row>
    <row r="155" spans="1:28" ht="14.25" customHeight="1" x14ac:dyDescent="0.25">
      <c r="A155" s="34">
        <v>126</v>
      </c>
      <c r="B155" s="24"/>
      <c r="C155" s="11"/>
      <c r="D155" s="12"/>
      <c r="E155" s="12"/>
      <c r="F155" s="11"/>
      <c r="G155" s="11"/>
      <c r="H155" s="24"/>
      <c r="I155" s="11"/>
      <c r="J155" s="11"/>
      <c r="K155" s="45"/>
      <c r="L155" s="46"/>
      <c r="M155" s="24"/>
      <c r="N155" s="24"/>
      <c r="O155" s="8"/>
      <c r="P155" s="7" t="s">
        <v>583</v>
      </c>
      <c r="Q155" s="8"/>
      <c r="R155" s="8"/>
      <c r="S155" s="8"/>
      <c r="T155" s="8"/>
      <c r="U155" s="8"/>
      <c r="V155" s="8"/>
      <c r="W155" s="8"/>
      <c r="X155" s="8"/>
      <c r="Y155" s="8"/>
      <c r="Z155" s="8"/>
      <c r="AA155" s="8"/>
      <c r="AB155" s="8"/>
    </row>
    <row r="156" spans="1:28" ht="14.25" customHeight="1" x14ac:dyDescent="0.25">
      <c r="A156" s="34">
        <v>127</v>
      </c>
      <c r="B156" s="24"/>
      <c r="C156" s="11"/>
      <c r="D156" s="12"/>
      <c r="E156" s="12"/>
      <c r="F156" s="11"/>
      <c r="G156" s="11"/>
      <c r="H156" s="24"/>
      <c r="I156" s="11"/>
      <c r="J156" s="11"/>
      <c r="K156" s="45"/>
      <c r="L156" s="46"/>
      <c r="M156" s="24"/>
      <c r="N156" s="24"/>
      <c r="O156" s="8"/>
      <c r="P156" s="7" t="s">
        <v>584</v>
      </c>
      <c r="Q156" s="8"/>
      <c r="R156" s="8"/>
      <c r="S156" s="8"/>
      <c r="T156" s="8"/>
      <c r="U156" s="8"/>
      <c r="V156" s="8"/>
      <c r="W156" s="8"/>
      <c r="X156" s="8"/>
      <c r="Y156" s="8"/>
      <c r="Z156" s="8"/>
      <c r="AA156" s="8"/>
      <c r="AB156" s="8"/>
    </row>
    <row r="157" spans="1:28" ht="14.25" customHeight="1" x14ac:dyDescent="0.25">
      <c r="A157" s="34">
        <v>128</v>
      </c>
      <c r="B157" s="24"/>
      <c r="C157" s="11"/>
      <c r="D157" s="12"/>
      <c r="E157" s="12"/>
      <c r="F157" s="11"/>
      <c r="G157" s="11"/>
      <c r="H157" s="24"/>
      <c r="I157" s="11"/>
      <c r="J157" s="11"/>
      <c r="K157" s="45"/>
      <c r="L157" s="46"/>
      <c r="M157" s="24"/>
      <c r="N157" s="24"/>
      <c r="O157" s="8"/>
      <c r="P157" s="7" t="s">
        <v>585</v>
      </c>
      <c r="Q157" s="8"/>
      <c r="R157" s="8"/>
      <c r="S157" s="8"/>
      <c r="T157" s="8"/>
      <c r="U157" s="8"/>
      <c r="V157" s="8"/>
      <c r="W157" s="8"/>
      <c r="X157" s="8"/>
      <c r="Y157" s="8"/>
      <c r="Z157" s="8"/>
      <c r="AA157" s="8"/>
      <c r="AB157" s="8"/>
    </row>
    <row r="158" spans="1:28" ht="14.25" customHeight="1" x14ac:dyDescent="0.25">
      <c r="A158" s="34">
        <v>129</v>
      </c>
      <c r="B158" s="24"/>
      <c r="C158" s="11"/>
      <c r="D158" s="12"/>
      <c r="E158" s="12"/>
      <c r="F158" s="11"/>
      <c r="G158" s="11"/>
      <c r="H158" s="24"/>
      <c r="I158" s="11"/>
      <c r="J158" s="11"/>
      <c r="K158" s="45"/>
      <c r="L158" s="46"/>
      <c r="M158" s="24"/>
      <c r="N158" s="24"/>
      <c r="O158" s="8"/>
      <c r="P158" s="7" t="s">
        <v>586</v>
      </c>
      <c r="Q158" s="8"/>
      <c r="R158" s="8"/>
      <c r="S158" s="8"/>
      <c r="T158" s="8"/>
      <c r="U158" s="8"/>
      <c r="V158" s="8"/>
      <c r="W158" s="8"/>
      <c r="X158" s="8"/>
      <c r="Y158" s="8"/>
      <c r="Z158" s="8"/>
      <c r="AA158" s="8"/>
      <c r="AB158" s="8"/>
    </row>
    <row r="159" spans="1:28" ht="14.25" customHeight="1" x14ac:dyDescent="0.25">
      <c r="A159" s="34">
        <v>130</v>
      </c>
      <c r="B159" s="24"/>
      <c r="C159" s="11"/>
      <c r="D159" s="12"/>
      <c r="E159" s="12"/>
      <c r="F159" s="11"/>
      <c r="G159" s="11"/>
      <c r="H159" s="24"/>
      <c r="I159" s="11"/>
      <c r="J159" s="11"/>
      <c r="K159" s="45"/>
      <c r="L159" s="46"/>
      <c r="M159" s="24"/>
      <c r="N159" s="24"/>
      <c r="O159" s="8"/>
      <c r="P159" s="7" t="s">
        <v>587</v>
      </c>
      <c r="Q159" s="8"/>
      <c r="R159" s="8"/>
      <c r="S159" s="8"/>
      <c r="T159" s="8"/>
      <c r="U159" s="8"/>
      <c r="V159" s="8"/>
      <c r="W159" s="8"/>
      <c r="X159" s="8"/>
      <c r="Y159" s="8"/>
      <c r="Z159" s="8"/>
      <c r="AA159" s="8"/>
      <c r="AB159" s="8"/>
    </row>
    <row r="160" spans="1:28" ht="14.25" customHeight="1" x14ac:dyDescent="0.25">
      <c r="A160" s="34">
        <v>131</v>
      </c>
      <c r="B160" s="24"/>
      <c r="C160" s="11"/>
      <c r="D160" s="12"/>
      <c r="E160" s="12"/>
      <c r="F160" s="11"/>
      <c r="G160" s="11"/>
      <c r="H160" s="24"/>
      <c r="I160" s="11"/>
      <c r="J160" s="11"/>
      <c r="K160" s="45"/>
      <c r="L160" s="46"/>
      <c r="M160" s="24"/>
      <c r="N160" s="24"/>
      <c r="O160" s="8"/>
      <c r="P160" s="7" t="s">
        <v>588</v>
      </c>
      <c r="Q160" s="8"/>
      <c r="R160" s="8"/>
      <c r="S160" s="8"/>
      <c r="T160" s="8"/>
      <c r="U160" s="8"/>
      <c r="V160" s="8"/>
      <c r="W160" s="8"/>
      <c r="X160" s="8"/>
      <c r="Y160" s="8"/>
      <c r="Z160" s="8"/>
      <c r="AA160" s="8"/>
      <c r="AB160" s="8"/>
    </row>
    <row r="161" spans="1:28" ht="14.25" customHeight="1" x14ac:dyDescent="0.25">
      <c r="A161" s="34">
        <v>132</v>
      </c>
      <c r="B161" s="24"/>
      <c r="C161" s="11"/>
      <c r="D161" s="12"/>
      <c r="E161" s="12"/>
      <c r="F161" s="11"/>
      <c r="G161" s="11"/>
      <c r="H161" s="24"/>
      <c r="I161" s="11"/>
      <c r="J161" s="11"/>
      <c r="K161" s="45"/>
      <c r="L161" s="46"/>
      <c r="M161" s="24"/>
      <c r="N161" s="24"/>
      <c r="O161" s="8"/>
      <c r="P161" s="7" t="s">
        <v>589</v>
      </c>
      <c r="Q161" s="8"/>
      <c r="R161" s="8"/>
      <c r="S161" s="8"/>
      <c r="T161" s="8"/>
      <c r="U161" s="8"/>
      <c r="V161" s="8"/>
      <c r="W161" s="8"/>
      <c r="X161" s="8"/>
      <c r="Y161" s="8"/>
      <c r="Z161" s="8"/>
      <c r="AA161" s="8"/>
      <c r="AB161" s="8"/>
    </row>
    <row r="162" spans="1:28" ht="14.25" customHeight="1" x14ac:dyDescent="0.25">
      <c r="A162" s="34">
        <v>133</v>
      </c>
      <c r="B162" s="24"/>
      <c r="C162" s="11"/>
      <c r="D162" s="12"/>
      <c r="E162" s="12"/>
      <c r="F162" s="11"/>
      <c r="G162" s="11"/>
      <c r="H162" s="24"/>
      <c r="I162" s="11"/>
      <c r="J162" s="11"/>
      <c r="K162" s="45"/>
      <c r="L162" s="46"/>
      <c r="M162" s="24"/>
      <c r="N162" s="24"/>
      <c r="O162" s="8"/>
      <c r="P162" s="7" t="s">
        <v>590</v>
      </c>
      <c r="Q162" s="8"/>
      <c r="R162" s="8"/>
      <c r="S162" s="8"/>
      <c r="T162" s="8"/>
      <c r="U162" s="8"/>
      <c r="V162" s="8"/>
      <c r="W162" s="8"/>
      <c r="X162" s="8"/>
      <c r="Y162" s="8"/>
      <c r="Z162" s="8"/>
      <c r="AA162" s="8"/>
      <c r="AB162" s="8"/>
    </row>
    <row r="163" spans="1:28" ht="14.25" customHeight="1" x14ac:dyDescent="0.25">
      <c r="A163" s="34">
        <v>134</v>
      </c>
      <c r="B163" s="24"/>
      <c r="C163" s="11"/>
      <c r="D163" s="12"/>
      <c r="E163" s="12"/>
      <c r="F163" s="11"/>
      <c r="G163" s="11"/>
      <c r="H163" s="24"/>
      <c r="I163" s="11"/>
      <c r="J163" s="11"/>
      <c r="K163" s="45"/>
      <c r="L163" s="46"/>
      <c r="M163" s="24"/>
      <c r="N163" s="24"/>
      <c r="O163" s="8"/>
      <c r="P163" s="7" t="s">
        <v>591</v>
      </c>
      <c r="Q163" s="8"/>
      <c r="R163" s="8"/>
      <c r="S163" s="8"/>
      <c r="T163" s="8"/>
      <c r="U163" s="8"/>
      <c r="V163" s="8"/>
      <c r="W163" s="8"/>
      <c r="X163" s="8"/>
      <c r="Y163" s="8"/>
      <c r="Z163" s="8"/>
      <c r="AA163" s="8"/>
      <c r="AB163" s="8"/>
    </row>
    <row r="164" spans="1:28" ht="14.25" customHeight="1" x14ac:dyDescent="0.25">
      <c r="A164" s="34">
        <v>135</v>
      </c>
      <c r="B164" s="24"/>
      <c r="C164" s="11"/>
      <c r="D164" s="12"/>
      <c r="E164" s="12"/>
      <c r="F164" s="11"/>
      <c r="G164" s="11"/>
      <c r="H164" s="24"/>
      <c r="I164" s="11"/>
      <c r="J164" s="11"/>
      <c r="K164" s="45"/>
      <c r="L164" s="46"/>
      <c r="M164" s="24"/>
      <c r="N164" s="24"/>
      <c r="O164" s="8"/>
      <c r="P164" s="7" t="s">
        <v>592</v>
      </c>
      <c r="Q164" s="8"/>
      <c r="R164" s="8"/>
      <c r="S164" s="8"/>
      <c r="T164" s="8"/>
      <c r="U164" s="8"/>
      <c r="V164" s="8"/>
      <c r="W164" s="8"/>
      <c r="X164" s="8"/>
      <c r="Y164" s="8"/>
      <c r="Z164" s="8"/>
      <c r="AA164" s="8"/>
      <c r="AB164" s="8"/>
    </row>
    <row r="165" spans="1:28" ht="14.25" customHeight="1" x14ac:dyDescent="0.25">
      <c r="A165" s="34">
        <v>136</v>
      </c>
      <c r="B165" s="24"/>
      <c r="C165" s="11"/>
      <c r="D165" s="12"/>
      <c r="E165" s="12"/>
      <c r="F165" s="11"/>
      <c r="G165" s="11"/>
      <c r="H165" s="24"/>
      <c r="I165" s="11"/>
      <c r="J165" s="11"/>
      <c r="K165" s="45"/>
      <c r="L165" s="46"/>
      <c r="M165" s="24"/>
      <c r="N165" s="24"/>
      <c r="O165" s="8"/>
      <c r="P165" s="7" t="s">
        <v>593</v>
      </c>
      <c r="Q165" s="8"/>
      <c r="R165" s="8"/>
      <c r="S165" s="8"/>
      <c r="T165" s="8"/>
      <c r="U165" s="8"/>
      <c r="V165" s="8"/>
      <c r="W165" s="8"/>
      <c r="X165" s="8"/>
      <c r="Y165" s="8"/>
      <c r="Z165" s="8"/>
      <c r="AA165" s="8"/>
      <c r="AB165" s="8"/>
    </row>
    <row r="166" spans="1:28" ht="14.25" customHeight="1" x14ac:dyDescent="0.25">
      <c r="A166" s="34">
        <v>137</v>
      </c>
      <c r="B166" s="24"/>
      <c r="C166" s="11"/>
      <c r="D166" s="12"/>
      <c r="E166" s="12"/>
      <c r="F166" s="11"/>
      <c r="G166" s="11"/>
      <c r="H166" s="24"/>
      <c r="I166" s="11"/>
      <c r="J166" s="11"/>
      <c r="K166" s="45"/>
      <c r="L166" s="46"/>
      <c r="M166" s="24"/>
      <c r="N166" s="24"/>
      <c r="O166" s="8"/>
      <c r="P166" s="7" t="s">
        <v>594</v>
      </c>
      <c r="Q166" s="8"/>
      <c r="R166" s="8"/>
      <c r="S166" s="8"/>
      <c r="T166" s="8"/>
      <c r="U166" s="8"/>
      <c r="V166" s="8"/>
      <c r="W166" s="8"/>
      <c r="X166" s="8"/>
      <c r="Y166" s="8"/>
      <c r="Z166" s="8"/>
      <c r="AA166" s="8"/>
      <c r="AB166" s="8"/>
    </row>
    <row r="167" spans="1:28" ht="14.25" customHeight="1" x14ac:dyDescent="0.25">
      <c r="A167" s="34">
        <v>138</v>
      </c>
      <c r="B167" s="24"/>
      <c r="C167" s="11"/>
      <c r="D167" s="12"/>
      <c r="E167" s="12"/>
      <c r="F167" s="11"/>
      <c r="G167" s="11"/>
      <c r="H167" s="24"/>
      <c r="I167" s="11"/>
      <c r="J167" s="11"/>
      <c r="K167" s="45"/>
      <c r="L167" s="46"/>
      <c r="M167" s="24"/>
      <c r="N167" s="24"/>
      <c r="O167" s="8"/>
      <c r="P167" s="7" t="s">
        <v>595</v>
      </c>
      <c r="Q167" s="8"/>
      <c r="R167" s="8"/>
      <c r="S167" s="8"/>
      <c r="T167" s="8"/>
      <c r="U167" s="8"/>
      <c r="V167" s="8"/>
      <c r="W167" s="8"/>
      <c r="X167" s="8"/>
      <c r="Y167" s="8"/>
      <c r="Z167" s="8"/>
      <c r="AA167" s="8"/>
      <c r="AB167" s="8"/>
    </row>
    <row r="168" spans="1:28" ht="14.25" customHeight="1" x14ac:dyDescent="0.25">
      <c r="A168" s="34">
        <v>139</v>
      </c>
      <c r="B168" s="24"/>
      <c r="C168" s="11"/>
      <c r="D168" s="12"/>
      <c r="E168" s="12"/>
      <c r="F168" s="11"/>
      <c r="G168" s="11"/>
      <c r="H168" s="24"/>
      <c r="I168" s="11"/>
      <c r="J168" s="11"/>
      <c r="K168" s="45"/>
      <c r="L168" s="46"/>
      <c r="M168" s="24"/>
      <c r="N168" s="24"/>
      <c r="O168" s="8"/>
      <c r="P168" s="7" t="s">
        <v>596</v>
      </c>
      <c r="Q168" s="8"/>
      <c r="R168" s="8"/>
      <c r="S168" s="8"/>
      <c r="T168" s="8"/>
      <c r="U168" s="8"/>
      <c r="V168" s="8"/>
      <c r="W168" s="8"/>
      <c r="X168" s="8"/>
      <c r="Y168" s="8"/>
      <c r="Z168" s="8"/>
      <c r="AA168" s="8"/>
      <c r="AB168" s="8"/>
    </row>
    <row r="169" spans="1:28" ht="14.25" customHeight="1" x14ac:dyDescent="0.25">
      <c r="A169" s="34">
        <v>140</v>
      </c>
      <c r="B169" s="24"/>
      <c r="C169" s="11"/>
      <c r="D169" s="12"/>
      <c r="E169" s="12"/>
      <c r="F169" s="11"/>
      <c r="G169" s="11"/>
      <c r="H169" s="24"/>
      <c r="I169" s="11"/>
      <c r="J169" s="11"/>
      <c r="K169" s="45"/>
      <c r="L169" s="46"/>
      <c r="M169" s="24"/>
      <c r="N169" s="24"/>
      <c r="O169" s="8"/>
      <c r="P169" s="7" t="s">
        <v>597</v>
      </c>
      <c r="Q169" s="8"/>
      <c r="R169" s="8"/>
      <c r="S169" s="8"/>
      <c r="T169" s="8"/>
      <c r="U169" s="8"/>
      <c r="V169" s="8"/>
      <c r="W169" s="8"/>
      <c r="X169" s="8"/>
      <c r="Y169" s="8"/>
      <c r="Z169" s="8"/>
      <c r="AA169" s="8"/>
      <c r="AB169" s="8"/>
    </row>
    <row r="170" spans="1:28" ht="14.25" customHeight="1" x14ac:dyDescent="0.25">
      <c r="A170" s="34">
        <v>141</v>
      </c>
      <c r="B170" s="24"/>
      <c r="C170" s="11"/>
      <c r="D170" s="12"/>
      <c r="E170" s="12"/>
      <c r="F170" s="11"/>
      <c r="G170" s="11"/>
      <c r="H170" s="24"/>
      <c r="I170" s="11"/>
      <c r="J170" s="11"/>
      <c r="K170" s="45"/>
      <c r="L170" s="46"/>
      <c r="M170" s="24"/>
      <c r="N170" s="24"/>
      <c r="O170" s="8"/>
      <c r="P170" s="7" t="s">
        <v>598</v>
      </c>
      <c r="Q170" s="8"/>
      <c r="R170" s="8"/>
      <c r="S170" s="8"/>
      <c r="T170" s="8"/>
      <c r="U170" s="8"/>
      <c r="V170" s="8"/>
      <c r="W170" s="8"/>
      <c r="X170" s="8"/>
      <c r="Y170" s="8"/>
      <c r="Z170" s="8"/>
      <c r="AA170" s="8"/>
      <c r="AB170" s="8"/>
    </row>
    <row r="171" spans="1:28" ht="14.25" customHeight="1" x14ac:dyDescent="0.25">
      <c r="A171" s="34">
        <v>142</v>
      </c>
      <c r="B171" s="24"/>
      <c r="C171" s="11"/>
      <c r="D171" s="12"/>
      <c r="E171" s="12"/>
      <c r="F171" s="11"/>
      <c r="G171" s="11"/>
      <c r="H171" s="24"/>
      <c r="I171" s="11"/>
      <c r="J171" s="11"/>
      <c r="K171" s="45"/>
      <c r="L171" s="46"/>
      <c r="M171" s="24"/>
      <c r="N171" s="24"/>
      <c r="O171" s="8"/>
      <c r="P171" s="7" t="s">
        <v>599</v>
      </c>
      <c r="Q171" s="8"/>
      <c r="R171" s="8"/>
      <c r="S171" s="8"/>
      <c r="T171" s="8"/>
      <c r="U171" s="8"/>
      <c r="V171" s="8"/>
      <c r="W171" s="8"/>
      <c r="X171" s="8"/>
      <c r="Y171" s="8"/>
      <c r="Z171" s="8"/>
      <c r="AA171" s="8"/>
      <c r="AB171" s="8"/>
    </row>
    <row r="172" spans="1:28" ht="14.25" customHeight="1" x14ac:dyDescent="0.25">
      <c r="A172" s="34">
        <v>143</v>
      </c>
      <c r="B172" s="24"/>
      <c r="C172" s="11"/>
      <c r="D172" s="12"/>
      <c r="E172" s="12"/>
      <c r="F172" s="11"/>
      <c r="G172" s="11"/>
      <c r="H172" s="24"/>
      <c r="I172" s="11"/>
      <c r="J172" s="11"/>
      <c r="K172" s="45"/>
      <c r="L172" s="46"/>
      <c r="M172" s="24"/>
      <c r="N172" s="24"/>
      <c r="O172" s="8"/>
      <c r="P172" s="7" t="s">
        <v>600</v>
      </c>
      <c r="Q172" s="8"/>
      <c r="R172" s="8"/>
      <c r="S172" s="8"/>
      <c r="T172" s="8"/>
      <c r="U172" s="8"/>
      <c r="V172" s="8"/>
      <c r="W172" s="8"/>
      <c r="X172" s="8"/>
      <c r="Y172" s="8"/>
      <c r="Z172" s="8"/>
      <c r="AA172" s="8"/>
      <c r="AB172" s="8"/>
    </row>
    <row r="173" spans="1:28" ht="14.25" customHeight="1" x14ac:dyDescent="0.25">
      <c r="A173" s="34">
        <v>144</v>
      </c>
      <c r="B173" s="24"/>
      <c r="C173" s="11"/>
      <c r="D173" s="12"/>
      <c r="E173" s="12"/>
      <c r="F173" s="11"/>
      <c r="G173" s="11"/>
      <c r="H173" s="24"/>
      <c r="I173" s="11"/>
      <c r="J173" s="11"/>
      <c r="K173" s="45"/>
      <c r="L173" s="46"/>
      <c r="M173" s="24"/>
      <c r="N173" s="24"/>
      <c r="O173" s="8"/>
      <c r="P173" s="7" t="s">
        <v>601</v>
      </c>
      <c r="Q173" s="8"/>
      <c r="R173" s="8"/>
      <c r="S173" s="8"/>
      <c r="T173" s="8"/>
      <c r="U173" s="8"/>
      <c r="V173" s="8"/>
      <c r="W173" s="8"/>
      <c r="X173" s="8"/>
      <c r="Y173" s="8"/>
      <c r="Z173" s="8"/>
      <c r="AA173" s="8"/>
      <c r="AB173" s="8"/>
    </row>
    <row r="174" spans="1:28" ht="14.25" customHeight="1" x14ac:dyDescent="0.25">
      <c r="A174" s="34">
        <v>145</v>
      </c>
      <c r="B174" s="24"/>
      <c r="C174" s="11"/>
      <c r="D174" s="12"/>
      <c r="E174" s="12"/>
      <c r="F174" s="11"/>
      <c r="G174" s="11"/>
      <c r="H174" s="24"/>
      <c r="I174" s="11"/>
      <c r="J174" s="11"/>
      <c r="K174" s="45"/>
      <c r="L174" s="46"/>
      <c r="M174" s="24"/>
      <c r="N174" s="24"/>
      <c r="O174" s="8"/>
      <c r="P174" s="7" t="s">
        <v>602</v>
      </c>
      <c r="Q174" s="8"/>
      <c r="R174" s="8"/>
      <c r="S174" s="8"/>
      <c r="T174" s="8"/>
      <c r="U174" s="8"/>
      <c r="V174" s="8"/>
      <c r="W174" s="8"/>
      <c r="X174" s="8"/>
      <c r="Y174" s="8"/>
      <c r="Z174" s="8"/>
      <c r="AA174" s="8"/>
      <c r="AB174" s="8"/>
    </row>
    <row r="175" spans="1:28" ht="14.25" customHeight="1" x14ac:dyDescent="0.25">
      <c r="A175" s="34">
        <v>146</v>
      </c>
      <c r="B175" s="24"/>
      <c r="C175" s="11"/>
      <c r="D175" s="12"/>
      <c r="E175" s="12"/>
      <c r="F175" s="11"/>
      <c r="G175" s="11"/>
      <c r="H175" s="24"/>
      <c r="I175" s="11"/>
      <c r="J175" s="11"/>
      <c r="K175" s="45"/>
      <c r="L175" s="46"/>
      <c r="M175" s="24"/>
      <c r="N175" s="24"/>
      <c r="O175" s="8"/>
      <c r="P175" s="7" t="s">
        <v>603</v>
      </c>
      <c r="Q175" s="8"/>
      <c r="R175" s="8"/>
      <c r="S175" s="8"/>
      <c r="T175" s="8"/>
      <c r="U175" s="8"/>
      <c r="V175" s="8"/>
      <c r="W175" s="8"/>
      <c r="X175" s="8"/>
      <c r="Y175" s="8"/>
      <c r="Z175" s="8"/>
      <c r="AA175" s="8"/>
      <c r="AB175" s="8"/>
    </row>
    <row r="176" spans="1:28" ht="14.25" customHeight="1" x14ac:dyDescent="0.25">
      <c r="A176" s="34">
        <v>147</v>
      </c>
      <c r="B176" s="24"/>
      <c r="C176" s="11"/>
      <c r="D176" s="12"/>
      <c r="E176" s="12"/>
      <c r="F176" s="11"/>
      <c r="G176" s="11"/>
      <c r="H176" s="24"/>
      <c r="I176" s="11"/>
      <c r="J176" s="11"/>
      <c r="K176" s="45"/>
      <c r="L176" s="46"/>
      <c r="M176" s="24"/>
      <c r="N176" s="24"/>
      <c r="O176" s="8"/>
      <c r="P176" s="7" t="s">
        <v>604</v>
      </c>
      <c r="Q176" s="8"/>
      <c r="R176" s="8"/>
      <c r="S176" s="8"/>
      <c r="T176" s="8"/>
      <c r="U176" s="8"/>
      <c r="V176" s="8"/>
      <c r="W176" s="8"/>
      <c r="X176" s="8"/>
      <c r="Y176" s="8"/>
      <c r="Z176" s="8"/>
      <c r="AA176" s="8"/>
      <c r="AB176" s="8"/>
    </row>
    <row r="177" spans="1:28" ht="14.25" customHeight="1" x14ac:dyDescent="0.25">
      <c r="A177" s="34">
        <v>148</v>
      </c>
      <c r="B177" s="24"/>
      <c r="C177" s="11"/>
      <c r="D177" s="12"/>
      <c r="E177" s="12"/>
      <c r="F177" s="11"/>
      <c r="G177" s="11"/>
      <c r="H177" s="24"/>
      <c r="I177" s="11"/>
      <c r="J177" s="11"/>
      <c r="K177" s="45"/>
      <c r="L177" s="46"/>
      <c r="M177" s="24"/>
      <c r="N177" s="24"/>
      <c r="O177" s="8"/>
      <c r="P177" s="7" t="s">
        <v>605</v>
      </c>
      <c r="Q177" s="8"/>
      <c r="R177" s="8"/>
      <c r="S177" s="8"/>
      <c r="T177" s="8"/>
      <c r="U177" s="8"/>
      <c r="V177" s="8"/>
      <c r="W177" s="8"/>
      <c r="X177" s="8"/>
      <c r="Y177" s="8"/>
      <c r="Z177" s="8"/>
      <c r="AA177" s="8"/>
      <c r="AB177" s="8"/>
    </row>
    <row r="178" spans="1:28" ht="14.25" customHeight="1" x14ac:dyDescent="0.25">
      <c r="A178" s="34">
        <v>149</v>
      </c>
      <c r="B178" s="24"/>
      <c r="C178" s="11"/>
      <c r="D178" s="12"/>
      <c r="E178" s="12"/>
      <c r="F178" s="11"/>
      <c r="G178" s="11"/>
      <c r="H178" s="24"/>
      <c r="I178" s="11"/>
      <c r="J178" s="11"/>
      <c r="K178" s="45"/>
      <c r="L178" s="46"/>
      <c r="M178" s="24"/>
      <c r="N178" s="24"/>
      <c r="O178" s="8"/>
      <c r="P178" s="7" t="s">
        <v>606</v>
      </c>
      <c r="Q178" s="8"/>
      <c r="R178" s="8"/>
      <c r="S178" s="8"/>
      <c r="T178" s="8"/>
      <c r="U178" s="8"/>
      <c r="V178" s="8"/>
      <c r="W178" s="8"/>
      <c r="X178" s="8"/>
      <c r="Y178" s="8"/>
      <c r="Z178" s="8"/>
      <c r="AA178" s="8"/>
      <c r="AB178" s="8"/>
    </row>
    <row r="179" spans="1:28" ht="14.25" customHeight="1" x14ac:dyDescent="0.25">
      <c r="A179" s="34">
        <v>150</v>
      </c>
      <c r="B179" s="24"/>
      <c r="C179" s="11"/>
      <c r="D179" s="12"/>
      <c r="E179" s="12"/>
      <c r="F179" s="11"/>
      <c r="G179" s="11"/>
      <c r="H179" s="24"/>
      <c r="I179" s="11"/>
      <c r="J179" s="11"/>
      <c r="K179" s="45"/>
      <c r="L179" s="46"/>
      <c r="M179" s="24"/>
      <c r="N179" s="24"/>
      <c r="O179" s="8"/>
      <c r="P179" s="7" t="s">
        <v>607</v>
      </c>
      <c r="Q179" s="8"/>
      <c r="R179" s="8"/>
      <c r="S179" s="8"/>
      <c r="T179" s="8"/>
      <c r="U179" s="8"/>
      <c r="V179" s="8"/>
      <c r="W179" s="8"/>
      <c r="X179" s="8"/>
      <c r="Y179" s="8"/>
      <c r="Z179" s="8"/>
      <c r="AA179" s="8"/>
      <c r="AB179" s="8"/>
    </row>
    <row r="180" spans="1:28" ht="14.25" customHeight="1" x14ac:dyDescent="0.25">
      <c r="A180" s="34">
        <v>151</v>
      </c>
      <c r="B180" s="24"/>
      <c r="C180" s="11"/>
      <c r="D180" s="12"/>
      <c r="E180" s="12"/>
      <c r="F180" s="11"/>
      <c r="G180" s="11"/>
      <c r="H180" s="24"/>
      <c r="I180" s="11"/>
      <c r="J180" s="11"/>
      <c r="K180" s="45"/>
      <c r="L180" s="46"/>
      <c r="M180" s="24"/>
      <c r="N180" s="24"/>
      <c r="O180" s="8"/>
      <c r="P180" s="7" t="s">
        <v>608</v>
      </c>
      <c r="Q180" s="8"/>
      <c r="R180" s="8"/>
      <c r="S180" s="8"/>
      <c r="T180" s="8"/>
      <c r="U180" s="8"/>
      <c r="V180" s="8"/>
      <c r="W180" s="8"/>
      <c r="X180" s="8"/>
      <c r="Y180" s="8"/>
      <c r="Z180" s="8"/>
      <c r="AA180" s="8"/>
      <c r="AB180" s="8"/>
    </row>
    <row r="181" spans="1:28" ht="14.25" customHeight="1" x14ac:dyDescent="0.25">
      <c r="A181" s="34">
        <v>152</v>
      </c>
      <c r="B181" s="24"/>
      <c r="C181" s="11"/>
      <c r="D181" s="12"/>
      <c r="E181" s="12"/>
      <c r="F181" s="11"/>
      <c r="G181" s="11"/>
      <c r="H181" s="24"/>
      <c r="I181" s="11"/>
      <c r="J181" s="11"/>
      <c r="K181" s="45"/>
      <c r="L181" s="46"/>
      <c r="M181" s="24"/>
      <c r="N181" s="24"/>
      <c r="O181" s="8"/>
      <c r="P181" s="7" t="s">
        <v>609</v>
      </c>
      <c r="Q181" s="8"/>
      <c r="R181" s="8"/>
      <c r="S181" s="8"/>
      <c r="T181" s="8"/>
      <c r="U181" s="8"/>
      <c r="V181" s="8"/>
      <c r="W181" s="8"/>
      <c r="X181" s="8"/>
      <c r="Y181" s="8"/>
      <c r="Z181" s="8"/>
      <c r="AA181" s="8"/>
      <c r="AB181" s="8"/>
    </row>
    <row r="182" spans="1:28" ht="14.25" customHeight="1" x14ac:dyDescent="0.25">
      <c r="A182" s="34">
        <v>153</v>
      </c>
      <c r="B182" s="24"/>
      <c r="C182" s="11"/>
      <c r="D182" s="12"/>
      <c r="E182" s="12"/>
      <c r="F182" s="11"/>
      <c r="G182" s="11"/>
      <c r="H182" s="24"/>
      <c r="I182" s="11"/>
      <c r="J182" s="11"/>
      <c r="K182" s="45"/>
      <c r="L182" s="46"/>
      <c r="M182" s="24"/>
      <c r="N182" s="24"/>
      <c r="O182" s="8"/>
      <c r="P182" s="7" t="s">
        <v>610</v>
      </c>
      <c r="Q182" s="8"/>
      <c r="R182" s="8"/>
      <c r="S182" s="8"/>
      <c r="T182" s="8"/>
      <c r="U182" s="8"/>
      <c r="V182" s="8"/>
      <c r="W182" s="8"/>
      <c r="X182" s="8"/>
      <c r="Y182" s="8"/>
      <c r="Z182" s="8"/>
      <c r="AA182" s="8"/>
      <c r="AB182" s="8"/>
    </row>
    <row r="183" spans="1:28" ht="14.25" customHeight="1" x14ac:dyDescent="0.25">
      <c r="A183" s="34">
        <v>154</v>
      </c>
      <c r="B183" s="24"/>
      <c r="C183" s="11"/>
      <c r="D183" s="12"/>
      <c r="E183" s="12"/>
      <c r="F183" s="11"/>
      <c r="G183" s="11"/>
      <c r="H183" s="24"/>
      <c r="I183" s="11"/>
      <c r="J183" s="11"/>
      <c r="K183" s="45"/>
      <c r="L183" s="46"/>
      <c r="M183" s="24"/>
      <c r="N183" s="24"/>
      <c r="O183" s="8"/>
      <c r="P183" s="7" t="s">
        <v>611</v>
      </c>
      <c r="Q183" s="8"/>
      <c r="R183" s="8"/>
      <c r="S183" s="8"/>
      <c r="T183" s="8"/>
      <c r="U183" s="8"/>
      <c r="V183" s="8"/>
      <c r="W183" s="8"/>
      <c r="X183" s="8"/>
      <c r="Y183" s="8"/>
      <c r="Z183" s="8"/>
      <c r="AA183" s="8"/>
      <c r="AB183" s="8"/>
    </row>
    <row r="184" spans="1:28" ht="14.25" customHeight="1" x14ac:dyDescent="0.25">
      <c r="A184" s="34">
        <v>155</v>
      </c>
      <c r="B184" s="24"/>
      <c r="C184" s="11"/>
      <c r="D184" s="12"/>
      <c r="E184" s="12"/>
      <c r="F184" s="11"/>
      <c r="G184" s="11"/>
      <c r="H184" s="24"/>
      <c r="I184" s="11"/>
      <c r="J184" s="11"/>
      <c r="K184" s="45"/>
      <c r="L184" s="46"/>
      <c r="M184" s="24"/>
      <c r="N184" s="24"/>
      <c r="O184" s="8"/>
      <c r="P184" s="7" t="s">
        <v>612</v>
      </c>
      <c r="Q184" s="8"/>
      <c r="R184" s="8"/>
      <c r="S184" s="8"/>
      <c r="T184" s="8"/>
      <c r="U184" s="8"/>
      <c r="V184" s="8"/>
      <c r="W184" s="8"/>
      <c r="X184" s="8"/>
      <c r="Y184" s="8"/>
      <c r="Z184" s="8"/>
      <c r="AA184" s="8"/>
      <c r="AB184" s="8"/>
    </row>
    <row r="185" spans="1:28" ht="14.25" customHeight="1" x14ac:dyDescent="0.25">
      <c r="A185" s="34">
        <v>156</v>
      </c>
      <c r="B185" s="24"/>
      <c r="C185" s="11"/>
      <c r="D185" s="12"/>
      <c r="E185" s="12"/>
      <c r="F185" s="11"/>
      <c r="G185" s="11"/>
      <c r="H185" s="24"/>
      <c r="I185" s="11"/>
      <c r="J185" s="11"/>
      <c r="K185" s="45"/>
      <c r="L185" s="46"/>
      <c r="M185" s="24"/>
      <c r="N185" s="24"/>
      <c r="O185" s="8"/>
      <c r="P185" s="7" t="s">
        <v>613</v>
      </c>
      <c r="Q185" s="8"/>
      <c r="R185" s="8"/>
      <c r="S185" s="8"/>
      <c r="T185" s="8"/>
      <c r="U185" s="8"/>
      <c r="V185" s="8"/>
      <c r="W185" s="8"/>
      <c r="X185" s="8"/>
      <c r="Y185" s="8"/>
      <c r="Z185" s="8"/>
      <c r="AA185" s="8"/>
      <c r="AB185" s="8"/>
    </row>
    <row r="186" spans="1:28" ht="14.25" customHeight="1" x14ac:dyDescent="0.25">
      <c r="A186" s="34">
        <v>157</v>
      </c>
      <c r="B186" s="24"/>
      <c r="C186" s="11"/>
      <c r="D186" s="12"/>
      <c r="E186" s="12"/>
      <c r="F186" s="11"/>
      <c r="G186" s="11"/>
      <c r="H186" s="24"/>
      <c r="I186" s="11"/>
      <c r="J186" s="11"/>
      <c r="K186" s="45"/>
      <c r="L186" s="46"/>
      <c r="M186" s="24"/>
      <c r="N186" s="24"/>
      <c r="O186" s="8"/>
      <c r="P186" s="7" t="s">
        <v>614</v>
      </c>
      <c r="Q186" s="8"/>
      <c r="R186" s="8"/>
      <c r="S186" s="8"/>
      <c r="T186" s="8"/>
      <c r="U186" s="8"/>
      <c r="V186" s="8"/>
      <c r="W186" s="8"/>
      <c r="X186" s="8"/>
      <c r="Y186" s="8"/>
      <c r="Z186" s="8"/>
      <c r="AA186" s="8"/>
      <c r="AB186" s="8"/>
    </row>
    <row r="187" spans="1:28" ht="14.25" customHeight="1" x14ac:dyDescent="0.25">
      <c r="A187" s="34">
        <v>158</v>
      </c>
      <c r="B187" s="24"/>
      <c r="C187" s="11"/>
      <c r="D187" s="12"/>
      <c r="E187" s="12"/>
      <c r="F187" s="11"/>
      <c r="G187" s="11"/>
      <c r="H187" s="24"/>
      <c r="I187" s="11"/>
      <c r="J187" s="11"/>
      <c r="K187" s="45"/>
      <c r="L187" s="46"/>
      <c r="M187" s="24"/>
      <c r="N187" s="24"/>
      <c r="O187" s="8"/>
      <c r="P187" s="7" t="s">
        <v>615</v>
      </c>
      <c r="Q187" s="8"/>
      <c r="R187" s="8"/>
      <c r="S187" s="8"/>
      <c r="T187" s="8"/>
      <c r="U187" s="8"/>
      <c r="V187" s="8"/>
      <c r="W187" s="8"/>
      <c r="X187" s="8"/>
      <c r="Y187" s="8"/>
      <c r="Z187" s="8"/>
      <c r="AA187" s="8"/>
      <c r="AB187" s="8"/>
    </row>
    <row r="188" spans="1:28" ht="14.25" customHeight="1" x14ac:dyDescent="0.25">
      <c r="A188" s="34">
        <v>159</v>
      </c>
      <c r="B188" s="24"/>
      <c r="C188" s="11"/>
      <c r="D188" s="12"/>
      <c r="E188" s="12"/>
      <c r="F188" s="11"/>
      <c r="G188" s="11"/>
      <c r="H188" s="24"/>
      <c r="I188" s="11"/>
      <c r="J188" s="11"/>
      <c r="K188" s="45"/>
      <c r="L188" s="46"/>
      <c r="M188" s="24"/>
      <c r="N188" s="24"/>
      <c r="O188" s="8"/>
      <c r="P188" s="7" t="s">
        <v>616</v>
      </c>
      <c r="Q188" s="8"/>
      <c r="R188" s="8"/>
      <c r="S188" s="8"/>
      <c r="T188" s="8"/>
      <c r="U188" s="8"/>
      <c r="V188" s="8"/>
      <c r="W188" s="8"/>
      <c r="X188" s="8"/>
      <c r="Y188" s="8"/>
      <c r="Z188" s="8"/>
      <c r="AA188" s="8"/>
      <c r="AB188" s="8"/>
    </row>
    <row r="189" spans="1:28" ht="14.25" customHeight="1" x14ac:dyDescent="0.25">
      <c r="A189" s="34">
        <v>160</v>
      </c>
      <c r="B189" s="24"/>
      <c r="C189" s="11"/>
      <c r="D189" s="12"/>
      <c r="E189" s="12"/>
      <c r="F189" s="11"/>
      <c r="G189" s="11"/>
      <c r="H189" s="24"/>
      <c r="I189" s="11"/>
      <c r="J189" s="11"/>
      <c r="K189" s="45"/>
      <c r="L189" s="46"/>
      <c r="M189" s="24"/>
      <c r="N189" s="24"/>
      <c r="O189" s="8"/>
      <c r="P189" s="7" t="s">
        <v>617</v>
      </c>
      <c r="Q189" s="8"/>
      <c r="R189" s="8"/>
      <c r="S189" s="8"/>
      <c r="T189" s="8"/>
      <c r="U189" s="8"/>
      <c r="V189" s="8"/>
      <c r="W189" s="8"/>
      <c r="X189" s="8"/>
      <c r="Y189" s="8"/>
      <c r="Z189" s="8"/>
      <c r="AA189" s="8"/>
      <c r="AB189" s="8"/>
    </row>
    <row r="190" spans="1:28" ht="14.25" customHeight="1" x14ac:dyDescent="0.25">
      <c r="A190" s="34">
        <v>161</v>
      </c>
      <c r="B190" s="24"/>
      <c r="C190" s="11"/>
      <c r="D190" s="12"/>
      <c r="E190" s="12"/>
      <c r="F190" s="11"/>
      <c r="G190" s="11"/>
      <c r="H190" s="24"/>
      <c r="I190" s="11"/>
      <c r="J190" s="11"/>
      <c r="K190" s="45"/>
      <c r="L190" s="46"/>
      <c r="M190" s="24"/>
      <c r="N190" s="24"/>
      <c r="O190" s="8"/>
      <c r="P190" s="7" t="s">
        <v>618</v>
      </c>
      <c r="Q190" s="8"/>
      <c r="R190" s="8"/>
      <c r="S190" s="8"/>
      <c r="T190" s="8"/>
      <c r="U190" s="8"/>
      <c r="V190" s="8"/>
      <c r="W190" s="8"/>
      <c r="X190" s="8"/>
      <c r="Y190" s="8"/>
      <c r="Z190" s="8"/>
      <c r="AA190" s="8"/>
      <c r="AB190" s="8"/>
    </row>
    <row r="191" spans="1:28" ht="14.25" customHeight="1" x14ac:dyDescent="0.25">
      <c r="A191" s="34">
        <v>162</v>
      </c>
      <c r="B191" s="24"/>
      <c r="C191" s="11"/>
      <c r="D191" s="12"/>
      <c r="E191" s="12"/>
      <c r="F191" s="11"/>
      <c r="G191" s="11"/>
      <c r="H191" s="24"/>
      <c r="I191" s="11"/>
      <c r="J191" s="11"/>
      <c r="K191" s="45"/>
      <c r="L191" s="46"/>
      <c r="M191" s="24"/>
      <c r="N191" s="24"/>
      <c r="O191" s="8"/>
      <c r="P191" s="7" t="s">
        <v>619</v>
      </c>
      <c r="Q191" s="8"/>
      <c r="R191" s="8"/>
      <c r="S191" s="8"/>
      <c r="T191" s="8"/>
      <c r="U191" s="8"/>
      <c r="V191" s="8"/>
      <c r="W191" s="8"/>
      <c r="X191" s="8"/>
      <c r="Y191" s="8"/>
      <c r="Z191" s="8"/>
      <c r="AA191" s="8"/>
      <c r="AB191" s="8"/>
    </row>
    <row r="192" spans="1:28" ht="14.25" customHeight="1" x14ac:dyDescent="0.25">
      <c r="A192" s="34">
        <v>163</v>
      </c>
      <c r="B192" s="24"/>
      <c r="C192" s="11"/>
      <c r="D192" s="12"/>
      <c r="E192" s="12"/>
      <c r="F192" s="11"/>
      <c r="G192" s="11"/>
      <c r="H192" s="24"/>
      <c r="I192" s="11"/>
      <c r="J192" s="11"/>
      <c r="K192" s="45"/>
      <c r="L192" s="46"/>
      <c r="M192" s="24"/>
      <c r="N192" s="24"/>
      <c r="O192" s="8"/>
      <c r="P192" s="7" t="s">
        <v>620</v>
      </c>
      <c r="Q192" s="8"/>
      <c r="R192" s="8"/>
      <c r="S192" s="8"/>
      <c r="T192" s="8"/>
      <c r="U192" s="8"/>
      <c r="V192" s="8"/>
      <c r="W192" s="8"/>
      <c r="X192" s="8"/>
      <c r="Y192" s="8"/>
      <c r="Z192" s="8"/>
      <c r="AA192" s="8"/>
      <c r="AB192" s="8"/>
    </row>
    <row r="193" spans="1:28" ht="14.25" customHeight="1" x14ac:dyDescent="0.25">
      <c r="A193" s="34">
        <v>164</v>
      </c>
      <c r="B193" s="24"/>
      <c r="C193" s="11"/>
      <c r="D193" s="12"/>
      <c r="E193" s="12"/>
      <c r="F193" s="11"/>
      <c r="G193" s="11"/>
      <c r="H193" s="24"/>
      <c r="I193" s="11"/>
      <c r="J193" s="11"/>
      <c r="K193" s="45"/>
      <c r="L193" s="46"/>
      <c r="M193" s="24"/>
      <c r="N193" s="24"/>
      <c r="O193" s="8"/>
      <c r="P193" s="7" t="s">
        <v>621</v>
      </c>
      <c r="Q193" s="8"/>
      <c r="R193" s="8"/>
      <c r="S193" s="8"/>
      <c r="T193" s="8"/>
      <c r="U193" s="8"/>
      <c r="V193" s="8"/>
      <c r="W193" s="8"/>
      <c r="X193" s="8"/>
      <c r="Y193" s="8"/>
      <c r="Z193" s="8"/>
      <c r="AA193" s="8"/>
      <c r="AB193" s="8"/>
    </row>
    <row r="194" spans="1:28" ht="14.25" customHeight="1" x14ac:dyDescent="0.25">
      <c r="A194" s="34">
        <v>165</v>
      </c>
      <c r="B194" s="24"/>
      <c r="C194" s="11"/>
      <c r="D194" s="12"/>
      <c r="E194" s="12"/>
      <c r="F194" s="11"/>
      <c r="G194" s="11"/>
      <c r="H194" s="24"/>
      <c r="I194" s="11"/>
      <c r="J194" s="11"/>
      <c r="K194" s="45"/>
      <c r="L194" s="46"/>
      <c r="M194" s="24"/>
      <c r="N194" s="24"/>
      <c r="O194" s="8"/>
      <c r="P194" s="7" t="s">
        <v>622</v>
      </c>
      <c r="Q194" s="8"/>
      <c r="R194" s="8"/>
      <c r="S194" s="8"/>
      <c r="T194" s="8"/>
      <c r="U194" s="8"/>
      <c r="V194" s="8"/>
      <c r="W194" s="8"/>
      <c r="X194" s="8"/>
      <c r="Y194" s="8"/>
      <c r="Z194" s="8"/>
      <c r="AA194" s="8"/>
      <c r="AB194" s="8"/>
    </row>
    <row r="195" spans="1:28" ht="14.25" customHeight="1" x14ac:dyDescent="0.25">
      <c r="A195" s="34">
        <v>166</v>
      </c>
      <c r="B195" s="24"/>
      <c r="C195" s="11"/>
      <c r="D195" s="12"/>
      <c r="E195" s="12"/>
      <c r="F195" s="11"/>
      <c r="G195" s="11"/>
      <c r="H195" s="24"/>
      <c r="I195" s="11"/>
      <c r="J195" s="11"/>
      <c r="K195" s="45"/>
      <c r="L195" s="46"/>
      <c r="M195" s="24"/>
      <c r="N195" s="24"/>
      <c r="O195" s="8"/>
      <c r="P195" s="7" t="s">
        <v>623</v>
      </c>
      <c r="Q195" s="8"/>
      <c r="R195" s="8"/>
      <c r="S195" s="8"/>
      <c r="T195" s="8"/>
      <c r="U195" s="8"/>
      <c r="V195" s="8"/>
      <c r="W195" s="8"/>
      <c r="X195" s="8"/>
      <c r="Y195" s="8"/>
      <c r="Z195" s="8"/>
      <c r="AA195" s="8"/>
      <c r="AB195" s="8"/>
    </row>
    <row r="196" spans="1:28" ht="14.25" customHeight="1" x14ac:dyDescent="0.25">
      <c r="A196" s="34">
        <v>167</v>
      </c>
      <c r="B196" s="24"/>
      <c r="C196" s="11"/>
      <c r="D196" s="12"/>
      <c r="E196" s="12"/>
      <c r="F196" s="11"/>
      <c r="G196" s="11"/>
      <c r="H196" s="24"/>
      <c r="I196" s="11"/>
      <c r="J196" s="11"/>
      <c r="K196" s="45"/>
      <c r="L196" s="46"/>
      <c r="M196" s="24"/>
      <c r="N196" s="24"/>
      <c r="O196" s="8"/>
      <c r="P196" s="7" t="s">
        <v>624</v>
      </c>
      <c r="Q196" s="8"/>
      <c r="R196" s="8"/>
      <c r="S196" s="8"/>
      <c r="T196" s="8"/>
      <c r="U196" s="8"/>
      <c r="V196" s="8"/>
      <c r="W196" s="8"/>
      <c r="X196" s="8"/>
      <c r="Y196" s="8"/>
      <c r="Z196" s="8"/>
      <c r="AA196" s="8"/>
      <c r="AB196" s="8"/>
    </row>
    <row r="197" spans="1:28" ht="14.25" customHeight="1" x14ac:dyDescent="0.25">
      <c r="A197" s="34">
        <v>168</v>
      </c>
      <c r="B197" s="24"/>
      <c r="C197" s="11"/>
      <c r="D197" s="12"/>
      <c r="E197" s="12"/>
      <c r="F197" s="11"/>
      <c r="G197" s="11"/>
      <c r="H197" s="24"/>
      <c r="I197" s="11"/>
      <c r="J197" s="11"/>
      <c r="K197" s="45"/>
      <c r="L197" s="46"/>
      <c r="M197" s="24"/>
      <c r="N197" s="24"/>
      <c r="O197" s="8"/>
      <c r="P197" s="7" t="s">
        <v>625</v>
      </c>
      <c r="Q197" s="8"/>
      <c r="R197" s="8"/>
      <c r="S197" s="8"/>
      <c r="T197" s="8"/>
      <c r="U197" s="8"/>
      <c r="V197" s="8"/>
      <c r="W197" s="8"/>
      <c r="X197" s="8"/>
      <c r="Y197" s="8"/>
      <c r="Z197" s="8"/>
      <c r="AA197" s="8"/>
      <c r="AB197" s="8"/>
    </row>
    <row r="198" spans="1:28" ht="13.5" customHeight="1" x14ac:dyDescent="0.25">
      <c r="A198" s="34">
        <v>169</v>
      </c>
      <c r="B198" s="24"/>
      <c r="C198" s="11"/>
      <c r="D198" s="12"/>
      <c r="E198" s="12"/>
      <c r="F198" s="11"/>
      <c r="G198" s="11"/>
      <c r="H198" s="24"/>
      <c r="I198" s="11"/>
      <c r="J198" s="11"/>
      <c r="K198" s="45"/>
      <c r="L198" s="46"/>
      <c r="M198" s="24"/>
      <c r="N198" s="24"/>
      <c r="O198" s="8"/>
      <c r="P198" s="7" t="s">
        <v>626</v>
      </c>
      <c r="Q198" s="8"/>
      <c r="R198" s="8"/>
      <c r="S198" s="8"/>
      <c r="T198" s="8"/>
      <c r="U198" s="8"/>
      <c r="V198" s="8"/>
      <c r="W198" s="8"/>
      <c r="X198" s="8"/>
      <c r="Y198" s="8"/>
      <c r="Z198" s="8"/>
      <c r="AA198" s="8"/>
      <c r="AB198" s="8"/>
    </row>
    <row r="199" spans="1:28" ht="14.25" customHeight="1" x14ac:dyDescent="0.25">
      <c r="A199" s="34">
        <v>170</v>
      </c>
      <c r="B199" s="24"/>
      <c r="C199" s="11"/>
      <c r="D199" s="12"/>
      <c r="E199" s="12"/>
      <c r="F199" s="11"/>
      <c r="G199" s="11"/>
      <c r="H199" s="24"/>
      <c r="I199" s="11"/>
      <c r="J199" s="11"/>
      <c r="K199" s="45"/>
      <c r="L199" s="46"/>
      <c r="M199" s="24"/>
      <c r="N199" s="24"/>
      <c r="O199" s="8"/>
      <c r="P199" s="7" t="s">
        <v>627</v>
      </c>
      <c r="Q199" s="8"/>
      <c r="R199" s="8"/>
      <c r="S199" s="8"/>
      <c r="T199" s="8"/>
      <c r="U199" s="8"/>
      <c r="V199" s="8"/>
      <c r="W199" s="8"/>
      <c r="X199" s="8"/>
      <c r="Y199" s="8"/>
      <c r="Z199" s="8"/>
      <c r="AA199" s="8"/>
      <c r="AB199" s="8"/>
    </row>
    <row r="200" spans="1:28" ht="14.25" customHeight="1" x14ac:dyDescent="0.25">
      <c r="A200" s="34">
        <v>171</v>
      </c>
      <c r="B200" s="24"/>
      <c r="C200" s="11"/>
      <c r="D200" s="12"/>
      <c r="E200" s="12"/>
      <c r="F200" s="11"/>
      <c r="G200" s="11"/>
      <c r="H200" s="24"/>
      <c r="I200" s="11"/>
      <c r="J200" s="11"/>
      <c r="K200" s="45"/>
      <c r="L200" s="46"/>
      <c r="M200" s="24"/>
      <c r="N200" s="24"/>
      <c r="O200" s="8"/>
      <c r="P200" s="7" t="s">
        <v>628</v>
      </c>
      <c r="Q200" s="8"/>
      <c r="R200" s="8"/>
      <c r="S200" s="8"/>
      <c r="T200" s="8"/>
      <c r="U200" s="8"/>
      <c r="V200" s="8"/>
      <c r="W200" s="8"/>
      <c r="X200" s="8"/>
      <c r="Y200" s="8"/>
      <c r="Z200" s="8"/>
      <c r="AA200" s="8"/>
      <c r="AB200" s="8"/>
    </row>
    <row r="201" spans="1:28" ht="14.25" customHeight="1" x14ac:dyDescent="0.25">
      <c r="A201" s="34">
        <v>172</v>
      </c>
      <c r="B201" s="24"/>
      <c r="C201" s="11"/>
      <c r="D201" s="12"/>
      <c r="E201" s="12"/>
      <c r="F201" s="11"/>
      <c r="G201" s="11"/>
      <c r="H201" s="24"/>
      <c r="I201" s="11"/>
      <c r="J201" s="11"/>
      <c r="K201" s="45"/>
      <c r="L201" s="46"/>
      <c r="M201" s="24"/>
      <c r="N201" s="24"/>
      <c r="O201" s="8"/>
      <c r="P201" s="7" t="s">
        <v>629</v>
      </c>
      <c r="Q201" s="8"/>
      <c r="R201" s="8"/>
      <c r="S201" s="8"/>
      <c r="T201" s="8"/>
      <c r="U201" s="8"/>
      <c r="V201" s="8"/>
      <c r="W201" s="8"/>
      <c r="X201" s="8"/>
      <c r="Y201" s="8"/>
      <c r="Z201" s="8"/>
      <c r="AA201" s="8"/>
      <c r="AB201" s="8"/>
    </row>
    <row r="202" spans="1:28" ht="14.25" customHeight="1" x14ac:dyDescent="0.25">
      <c r="A202" s="34">
        <v>173</v>
      </c>
      <c r="B202" s="24"/>
      <c r="C202" s="11"/>
      <c r="D202" s="12"/>
      <c r="E202" s="12"/>
      <c r="F202" s="11"/>
      <c r="G202" s="11"/>
      <c r="H202" s="24"/>
      <c r="I202" s="11"/>
      <c r="J202" s="11"/>
      <c r="K202" s="45"/>
      <c r="L202" s="46"/>
      <c r="M202" s="24"/>
      <c r="N202" s="24"/>
      <c r="O202" s="8"/>
      <c r="P202" s="7" t="s">
        <v>630</v>
      </c>
      <c r="Q202" s="8"/>
      <c r="R202" s="8"/>
      <c r="S202" s="8"/>
      <c r="T202" s="8"/>
      <c r="U202" s="8"/>
      <c r="V202" s="8"/>
      <c r="W202" s="8"/>
      <c r="X202" s="8"/>
      <c r="Y202" s="8"/>
      <c r="Z202" s="8"/>
      <c r="AA202" s="8"/>
      <c r="AB202" s="8"/>
    </row>
    <row r="203" spans="1:28" ht="14.25" customHeight="1" x14ac:dyDescent="0.25">
      <c r="A203" s="34">
        <v>174</v>
      </c>
      <c r="B203" s="24"/>
      <c r="C203" s="11"/>
      <c r="D203" s="12"/>
      <c r="E203" s="12"/>
      <c r="F203" s="11"/>
      <c r="G203" s="11"/>
      <c r="H203" s="24"/>
      <c r="I203" s="11"/>
      <c r="J203" s="11"/>
      <c r="K203" s="45"/>
      <c r="L203" s="46"/>
      <c r="M203" s="24"/>
      <c r="N203" s="24"/>
      <c r="O203" s="8"/>
      <c r="P203" s="7" t="s">
        <v>631</v>
      </c>
      <c r="Q203" s="8"/>
      <c r="R203" s="8"/>
      <c r="S203" s="8"/>
      <c r="T203" s="8"/>
      <c r="U203" s="8"/>
      <c r="V203" s="8"/>
      <c r="W203" s="8"/>
      <c r="X203" s="8"/>
      <c r="Y203" s="8"/>
      <c r="Z203" s="8"/>
      <c r="AA203" s="8"/>
      <c r="AB203" s="8"/>
    </row>
    <row r="204" spans="1:28" ht="14.25" customHeight="1" x14ac:dyDescent="0.25">
      <c r="A204" s="34">
        <v>175</v>
      </c>
      <c r="B204" s="24"/>
      <c r="C204" s="11"/>
      <c r="D204" s="12"/>
      <c r="E204" s="12"/>
      <c r="F204" s="11"/>
      <c r="G204" s="11"/>
      <c r="H204" s="24"/>
      <c r="I204" s="11"/>
      <c r="J204" s="11"/>
      <c r="K204" s="45"/>
      <c r="L204" s="46"/>
      <c r="M204" s="24"/>
      <c r="N204" s="24"/>
      <c r="O204" s="8"/>
      <c r="P204" s="7" t="s">
        <v>632</v>
      </c>
      <c r="Q204" s="8"/>
      <c r="R204" s="8"/>
      <c r="S204" s="8"/>
      <c r="T204" s="8"/>
      <c r="U204" s="8"/>
      <c r="V204" s="8"/>
      <c r="W204" s="8"/>
      <c r="X204" s="8"/>
      <c r="Y204" s="8"/>
      <c r="Z204" s="8"/>
      <c r="AA204" s="8"/>
      <c r="AB204" s="8"/>
    </row>
    <row r="205" spans="1:28" ht="14.25" customHeight="1" x14ac:dyDescent="0.25">
      <c r="A205" s="34">
        <v>176</v>
      </c>
      <c r="B205" s="24"/>
      <c r="C205" s="11"/>
      <c r="D205" s="12"/>
      <c r="E205" s="12"/>
      <c r="F205" s="11"/>
      <c r="G205" s="11"/>
      <c r="H205" s="24"/>
      <c r="I205" s="11"/>
      <c r="J205" s="11"/>
      <c r="K205" s="45"/>
      <c r="L205" s="46"/>
      <c r="M205" s="24"/>
      <c r="N205" s="24"/>
      <c r="O205" s="8"/>
      <c r="P205" s="7" t="s">
        <v>633</v>
      </c>
      <c r="Q205" s="8"/>
      <c r="R205" s="8"/>
      <c r="S205" s="8"/>
      <c r="T205" s="8"/>
      <c r="U205" s="8"/>
      <c r="V205" s="8"/>
      <c r="W205" s="8"/>
      <c r="X205" s="8"/>
      <c r="Y205" s="8"/>
      <c r="Z205" s="8"/>
      <c r="AA205" s="8"/>
      <c r="AB205" s="8"/>
    </row>
    <row r="206" spans="1:28" ht="14.25" customHeight="1" x14ac:dyDescent="0.25">
      <c r="A206" s="34">
        <v>177</v>
      </c>
      <c r="B206" s="24"/>
      <c r="C206" s="11"/>
      <c r="D206" s="12"/>
      <c r="E206" s="12"/>
      <c r="F206" s="11"/>
      <c r="G206" s="11"/>
      <c r="H206" s="24"/>
      <c r="I206" s="11"/>
      <c r="J206" s="11"/>
      <c r="K206" s="45"/>
      <c r="L206" s="46"/>
      <c r="M206" s="24"/>
      <c r="N206" s="24"/>
      <c r="O206" s="8"/>
      <c r="P206" s="7" t="s">
        <v>634</v>
      </c>
      <c r="Q206" s="8"/>
      <c r="R206" s="8"/>
      <c r="S206" s="8"/>
      <c r="T206" s="8"/>
      <c r="U206" s="8"/>
      <c r="V206" s="8"/>
      <c r="W206" s="8"/>
      <c r="X206" s="8"/>
      <c r="Y206" s="8"/>
      <c r="Z206" s="8"/>
      <c r="AA206" s="8"/>
      <c r="AB206" s="8"/>
    </row>
    <row r="207" spans="1:28" ht="14.25" customHeight="1" x14ac:dyDescent="0.25">
      <c r="A207" s="34">
        <v>178</v>
      </c>
      <c r="B207" s="24"/>
      <c r="C207" s="11"/>
      <c r="D207" s="12"/>
      <c r="E207" s="12"/>
      <c r="F207" s="11"/>
      <c r="G207" s="11"/>
      <c r="H207" s="24"/>
      <c r="I207" s="11"/>
      <c r="J207" s="11"/>
      <c r="K207" s="45"/>
      <c r="L207" s="46"/>
      <c r="M207" s="24"/>
      <c r="N207" s="24"/>
      <c r="O207" s="8"/>
      <c r="P207" s="7" t="s">
        <v>635</v>
      </c>
      <c r="Q207" s="8"/>
      <c r="R207" s="8"/>
      <c r="S207" s="8"/>
      <c r="T207" s="8"/>
      <c r="U207" s="8"/>
      <c r="V207" s="8"/>
      <c r="W207" s="8"/>
      <c r="X207" s="8"/>
      <c r="Y207" s="8"/>
      <c r="Z207" s="8"/>
      <c r="AA207" s="8"/>
      <c r="AB207" s="8"/>
    </row>
    <row r="208" spans="1:28" ht="14.25" customHeight="1" x14ac:dyDescent="0.25">
      <c r="A208" s="34">
        <v>179</v>
      </c>
      <c r="B208" s="24"/>
      <c r="C208" s="11"/>
      <c r="D208" s="12"/>
      <c r="E208" s="12"/>
      <c r="F208" s="11"/>
      <c r="G208" s="11"/>
      <c r="H208" s="24"/>
      <c r="I208" s="11"/>
      <c r="J208" s="11"/>
      <c r="K208" s="45"/>
      <c r="L208" s="46"/>
      <c r="M208" s="24"/>
      <c r="N208" s="24"/>
      <c r="O208" s="8"/>
      <c r="P208" s="7" t="s">
        <v>636</v>
      </c>
      <c r="Q208" s="8"/>
      <c r="R208" s="8"/>
      <c r="S208" s="8"/>
      <c r="T208" s="8"/>
      <c r="U208" s="8"/>
      <c r="V208" s="8"/>
      <c r="W208" s="8"/>
      <c r="X208" s="8"/>
      <c r="Y208" s="8"/>
      <c r="Z208" s="8"/>
      <c r="AA208" s="8"/>
      <c r="AB208" s="8"/>
    </row>
    <row r="209" spans="1:28" ht="14.25" customHeight="1" x14ac:dyDescent="0.25">
      <c r="A209" s="34">
        <v>180</v>
      </c>
      <c r="B209" s="24"/>
      <c r="C209" s="11"/>
      <c r="D209" s="12"/>
      <c r="E209" s="12"/>
      <c r="F209" s="11"/>
      <c r="G209" s="11"/>
      <c r="H209" s="24"/>
      <c r="I209" s="11"/>
      <c r="J209" s="11"/>
      <c r="K209" s="45"/>
      <c r="L209" s="46"/>
      <c r="M209" s="24"/>
      <c r="N209" s="24"/>
      <c r="O209" s="8"/>
      <c r="P209" s="7" t="s">
        <v>637</v>
      </c>
      <c r="Q209" s="8"/>
      <c r="R209" s="8"/>
      <c r="S209" s="8"/>
      <c r="T209" s="8"/>
      <c r="U209" s="8"/>
      <c r="V209" s="8"/>
      <c r="W209" s="8"/>
      <c r="X209" s="8"/>
      <c r="Y209" s="8"/>
      <c r="Z209" s="8"/>
      <c r="AA209" s="8"/>
      <c r="AB209" s="8"/>
    </row>
    <row r="210" spans="1:28" ht="14.25" customHeight="1" x14ac:dyDescent="0.25">
      <c r="A210" s="34">
        <v>181</v>
      </c>
      <c r="B210" s="24"/>
      <c r="C210" s="11"/>
      <c r="D210" s="12"/>
      <c r="E210" s="12"/>
      <c r="F210" s="11"/>
      <c r="G210" s="11"/>
      <c r="H210" s="24"/>
      <c r="I210" s="11"/>
      <c r="J210" s="11"/>
      <c r="K210" s="45"/>
      <c r="L210" s="46"/>
      <c r="M210" s="24"/>
      <c r="N210" s="24"/>
      <c r="O210" s="8"/>
      <c r="P210" s="7" t="s">
        <v>638</v>
      </c>
      <c r="Q210" s="8"/>
      <c r="R210" s="8"/>
      <c r="S210" s="8"/>
      <c r="T210" s="8"/>
      <c r="U210" s="8"/>
      <c r="V210" s="8"/>
      <c r="W210" s="8"/>
      <c r="X210" s="8"/>
      <c r="Y210" s="8"/>
      <c r="Z210" s="8"/>
      <c r="AA210" s="8"/>
      <c r="AB210" s="8"/>
    </row>
    <row r="211" spans="1:28" ht="14.25" customHeight="1" x14ac:dyDescent="0.25">
      <c r="A211" s="34">
        <v>182</v>
      </c>
      <c r="B211" s="24"/>
      <c r="C211" s="11"/>
      <c r="D211" s="12"/>
      <c r="E211" s="12"/>
      <c r="F211" s="11"/>
      <c r="G211" s="11"/>
      <c r="H211" s="24"/>
      <c r="I211" s="11"/>
      <c r="J211" s="11"/>
      <c r="K211" s="45"/>
      <c r="L211" s="46"/>
      <c r="M211" s="24"/>
      <c r="N211" s="24"/>
      <c r="O211" s="8"/>
      <c r="P211" s="7" t="s">
        <v>639</v>
      </c>
      <c r="Q211" s="8"/>
      <c r="R211" s="8"/>
      <c r="S211" s="8"/>
      <c r="T211" s="8"/>
      <c r="U211" s="8"/>
      <c r="V211" s="8"/>
      <c r="W211" s="8"/>
      <c r="X211" s="8"/>
      <c r="Y211" s="8"/>
      <c r="Z211" s="8"/>
      <c r="AA211" s="8"/>
      <c r="AB211" s="8"/>
    </row>
    <row r="212" spans="1:28" ht="14.25" customHeight="1" x14ac:dyDescent="0.25">
      <c r="A212" s="34">
        <v>183</v>
      </c>
      <c r="B212" s="24"/>
      <c r="C212" s="11"/>
      <c r="D212" s="12"/>
      <c r="E212" s="12"/>
      <c r="F212" s="11"/>
      <c r="G212" s="11"/>
      <c r="H212" s="24"/>
      <c r="I212" s="11"/>
      <c r="J212" s="11"/>
      <c r="K212" s="45"/>
      <c r="L212" s="46"/>
      <c r="M212" s="24"/>
      <c r="N212" s="24"/>
      <c r="O212" s="8"/>
      <c r="P212" s="7" t="s">
        <v>640</v>
      </c>
      <c r="Q212" s="8"/>
      <c r="R212" s="8"/>
      <c r="S212" s="8"/>
      <c r="T212" s="8"/>
      <c r="U212" s="8"/>
      <c r="V212" s="8"/>
      <c r="W212" s="8"/>
      <c r="X212" s="8"/>
      <c r="Y212" s="8"/>
      <c r="Z212" s="8"/>
      <c r="AA212" s="8"/>
      <c r="AB212" s="8"/>
    </row>
    <row r="213" spans="1:28" ht="14.25" customHeight="1" x14ac:dyDescent="0.25">
      <c r="A213" s="34">
        <v>184</v>
      </c>
      <c r="B213" s="24"/>
      <c r="C213" s="11"/>
      <c r="D213" s="12"/>
      <c r="E213" s="12"/>
      <c r="F213" s="11"/>
      <c r="G213" s="11"/>
      <c r="H213" s="24"/>
      <c r="I213" s="11"/>
      <c r="J213" s="11"/>
      <c r="K213" s="45"/>
      <c r="L213" s="46"/>
      <c r="M213" s="24"/>
      <c r="N213" s="24"/>
      <c r="O213" s="8"/>
      <c r="P213" s="7" t="s">
        <v>641</v>
      </c>
      <c r="Q213" s="8"/>
      <c r="R213" s="8"/>
      <c r="S213" s="8"/>
      <c r="T213" s="8"/>
      <c r="U213" s="8"/>
      <c r="V213" s="8"/>
      <c r="W213" s="8"/>
      <c r="X213" s="8"/>
      <c r="Y213" s="8"/>
      <c r="Z213" s="8"/>
      <c r="AA213" s="8"/>
      <c r="AB213" s="8"/>
    </row>
    <row r="214" spans="1:28" ht="14.25" customHeight="1" x14ac:dyDescent="0.25">
      <c r="A214" s="34">
        <v>185</v>
      </c>
      <c r="B214" s="24"/>
      <c r="C214" s="11"/>
      <c r="D214" s="12"/>
      <c r="E214" s="12"/>
      <c r="F214" s="11"/>
      <c r="G214" s="11"/>
      <c r="H214" s="24"/>
      <c r="I214" s="11"/>
      <c r="J214" s="11"/>
      <c r="K214" s="45"/>
      <c r="L214" s="46"/>
      <c r="M214" s="24"/>
      <c r="N214" s="24"/>
      <c r="O214" s="8"/>
      <c r="P214" s="7" t="s">
        <v>642</v>
      </c>
      <c r="Q214" s="8"/>
      <c r="R214" s="8"/>
      <c r="S214" s="8"/>
      <c r="T214" s="8"/>
      <c r="U214" s="8"/>
      <c r="V214" s="8"/>
      <c r="W214" s="8"/>
      <c r="X214" s="8"/>
      <c r="Y214" s="8"/>
      <c r="Z214" s="8"/>
      <c r="AA214" s="8"/>
      <c r="AB214" s="8"/>
    </row>
    <row r="215" spans="1:28" ht="14.25" customHeight="1" x14ac:dyDescent="0.25">
      <c r="A215" s="34">
        <v>186</v>
      </c>
      <c r="B215" s="24"/>
      <c r="C215" s="11"/>
      <c r="D215" s="12"/>
      <c r="E215" s="12"/>
      <c r="F215" s="11"/>
      <c r="G215" s="11"/>
      <c r="H215" s="24"/>
      <c r="I215" s="11"/>
      <c r="J215" s="11"/>
      <c r="K215" s="45"/>
      <c r="L215" s="46"/>
      <c r="M215" s="24"/>
      <c r="N215" s="24"/>
      <c r="O215" s="8"/>
      <c r="P215" s="7" t="s">
        <v>643</v>
      </c>
      <c r="Q215" s="8"/>
      <c r="R215" s="8"/>
      <c r="S215" s="8"/>
      <c r="T215" s="8"/>
      <c r="U215" s="8"/>
      <c r="V215" s="8"/>
      <c r="W215" s="8"/>
      <c r="X215" s="8"/>
      <c r="Y215" s="8"/>
      <c r="Z215" s="8"/>
      <c r="AA215" s="8"/>
      <c r="AB215" s="8"/>
    </row>
    <row r="216" spans="1:28" ht="14.25" customHeight="1" x14ac:dyDescent="0.25">
      <c r="A216" s="34">
        <v>187</v>
      </c>
      <c r="B216" s="24"/>
      <c r="C216" s="11"/>
      <c r="D216" s="12"/>
      <c r="E216" s="12"/>
      <c r="F216" s="11"/>
      <c r="G216" s="11"/>
      <c r="H216" s="24"/>
      <c r="I216" s="11"/>
      <c r="J216" s="11"/>
      <c r="K216" s="45"/>
      <c r="L216" s="46"/>
      <c r="M216" s="24"/>
      <c r="N216" s="24"/>
      <c r="O216" s="8"/>
      <c r="P216" s="7" t="s">
        <v>644</v>
      </c>
      <c r="Q216" s="8"/>
      <c r="R216" s="8"/>
      <c r="S216" s="8"/>
      <c r="T216" s="8"/>
      <c r="U216" s="8"/>
      <c r="V216" s="8"/>
      <c r="W216" s="8"/>
      <c r="X216" s="8"/>
      <c r="Y216" s="8"/>
      <c r="Z216" s="8"/>
      <c r="AA216" s="8"/>
      <c r="AB216" s="8"/>
    </row>
    <row r="217" spans="1:28" ht="14.25" customHeight="1" x14ac:dyDescent="0.25">
      <c r="A217" s="34">
        <v>188</v>
      </c>
      <c r="B217" s="24"/>
      <c r="C217" s="11"/>
      <c r="D217" s="12"/>
      <c r="E217" s="12"/>
      <c r="F217" s="11"/>
      <c r="G217" s="11"/>
      <c r="H217" s="24"/>
      <c r="I217" s="11"/>
      <c r="J217" s="11"/>
      <c r="K217" s="45"/>
      <c r="L217" s="46"/>
      <c r="M217" s="24"/>
      <c r="N217" s="24"/>
      <c r="O217" s="8"/>
      <c r="P217" s="7" t="s">
        <v>645</v>
      </c>
      <c r="Q217" s="8"/>
      <c r="R217" s="8"/>
      <c r="S217" s="8"/>
      <c r="T217" s="8"/>
      <c r="U217" s="8"/>
      <c r="V217" s="8"/>
      <c r="W217" s="8"/>
      <c r="X217" s="8"/>
      <c r="Y217" s="8"/>
      <c r="Z217" s="8"/>
      <c r="AA217" s="8"/>
      <c r="AB217" s="8"/>
    </row>
    <row r="218" spans="1:28" ht="14.25" customHeight="1" x14ac:dyDescent="0.25">
      <c r="A218" s="34">
        <v>189</v>
      </c>
      <c r="B218" s="24"/>
      <c r="C218" s="11"/>
      <c r="D218" s="12"/>
      <c r="E218" s="12"/>
      <c r="F218" s="11"/>
      <c r="G218" s="11"/>
      <c r="H218" s="24"/>
      <c r="I218" s="11"/>
      <c r="J218" s="11"/>
      <c r="K218" s="45"/>
      <c r="L218" s="46"/>
      <c r="M218" s="24"/>
      <c r="N218" s="24"/>
      <c r="O218" s="8"/>
      <c r="P218" s="7" t="s">
        <v>646</v>
      </c>
      <c r="Q218" s="8"/>
      <c r="R218" s="8"/>
      <c r="S218" s="8"/>
      <c r="T218" s="8"/>
      <c r="U218" s="8"/>
      <c r="V218" s="8"/>
      <c r="W218" s="8"/>
      <c r="X218" s="8"/>
      <c r="Y218" s="8"/>
      <c r="Z218" s="8"/>
      <c r="AA218" s="8"/>
      <c r="AB218" s="8"/>
    </row>
    <row r="219" spans="1:28" ht="14.25" customHeight="1" x14ac:dyDescent="0.25">
      <c r="A219" s="34">
        <v>190</v>
      </c>
      <c r="B219" s="24"/>
      <c r="C219" s="11"/>
      <c r="D219" s="12"/>
      <c r="E219" s="12"/>
      <c r="F219" s="11"/>
      <c r="G219" s="11"/>
      <c r="H219" s="24"/>
      <c r="I219" s="11"/>
      <c r="J219" s="11"/>
      <c r="K219" s="45"/>
      <c r="L219" s="46"/>
      <c r="M219" s="24"/>
      <c r="N219" s="24"/>
      <c r="O219" s="8"/>
      <c r="P219" s="7" t="s">
        <v>647</v>
      </c>
      <c r="Q219" s="8"/>
      <c r="R219" s="8"/>
      <c r="S219" s="8"/>
      <c r="T219" s="8"/>
      <c r="U219" s="8"/>
      <c r="V219" s="8"/>
      <c r="W219" s="8"/>
      <c r="X219" s="8"/>
      <c r="Y219" s="8"/>
      <c r="Z219" s="8"/>
      <c r="AA219" s="8"/>
      <c r="AB219" s="8"/>
    </row>
    <row r="220" spans="1:28" ht="14.25" customHeight="1" x14ac:dyDescent="0.25">
      <c r="A220" s="34">
        <v>191</v>
      </c>
      <c r="B220" s="24"/>
      <c r="C220" s="11"/>
      <c r="D220" s="12"/>
      <c r="E220" s="12"/>
      <c r="F220" s="11"/>
      <c r="G220" s="11"/>
      <c r="H220" s="24"/>
      <c r="I220" s="11"/>
      <c r="J220" s="11"/>
      <c r="K220" s="45"/>
      <c r="L220" s="46"/>
      <c r="M220" s="24"/>
      <c r="N220" s="24"/>
      <c r="O220" s="8"/>
      <c r="P220" s="7" t="s">
        <v>648</v>
      </c>
      <c r="Q220" s="8"/>
      <c r="R220" s="8"/>
      <c r="S220" s="8"/>
      <c r="T220" s="8"/>
      <c r="U220" s="8"/>
      <c r="V220" s="8"/>
      <c r="W220" s="8"/>
      <c r="X220" s="8"/>
      <c r="Y220" s="8"/>
      <c r="Z220" s="8"/>
      <c r="AA220" s="8"/>
      <c r="AB220" s="8"/>
    </row>
    <row r="221" spans="1:28" ht="14.25" customHeight="1" x14ac:dyDescent="0.25">
      <c r="A221" s="34">
        <v>192</v>
      </c>
      <c r="B221" s="24"/>
      <c r="C221" s="11"/>
      <c r="D221" s="12"/>
      <c r="E221" s="12"/>
      <c r="F221" s="11"/>
      <c r="G221" s="11"/>
      <c r="H221" s="24"/>
      <c r="I221" s="11"/>
      <c r="J221" s="11"/>
      <c r="K221" s="45"/>
      <c r="L221" s="46"/>
      <c r="M221" s="24"/>
      <c r="N221" s="24"/>
      <c r="O221" s="8"/>
      <c r="P221" s="7" t="s">
        <v>649</v>
      </c>
      <c r="Q221" s="8"/>
      <c r="R221" s="8"/>
      <c r="S221" s="8"/>
      <c r="T221" s="8"/>
      <c r="U221" s="8"/>
      <c r="V221" s="8"/>
      <c r="W221" s="8"/>
      <c r="X221" s="8"/>
      <c r="Y221" s="8"/>
      <c r="Z221" s="8"/>
      <c r="AA221" s="8"/>
      <c r="AB221" s="8"/>
    </row>
    <row r="222" spans="1:28" ht="14.25" customHeight="1" x14ac:dyDescent="0.25">
      <c r="A222" s="34">
        <v>193</v>
      </c>
      <c r="B222" s="24"/>
      <c r="C222" s="11"/>
      <c r="D222" s="12"/>
      <c r="E222" s="12"/>
      <c r="F222" s="11"/>
      <c r="G222" s="11"/>
      <c r="H222" s="24"/>
      <c r="I222" s="11"/>
      <c r="J222" s="11"/>
      <c r="K222" s="45"/>
      <c r="L222" s="46"/>
      <c r="M222" s="24"/>
      <c r="N222" s="24"/>
      <c r="O222" s="8"/>
      <c r="P222" s="7" t="s">
        <v>650</v>
      </c>
      <c r="Q222" s="8"/>
      <c r="R222" s="8"/>
      <c r="S222" s="8"/>
      <c r="T222" s="8"/>
      <c r="U222" s="8"/>
      <c r="V222" s="8"/>
      <c r="W222" s="8"/>
      <c r="X222" s="8"/>
      <c r="Y222" s="8"/>
      <c r="Z222" s="8"/>
      <c r="AA222" s="8"/>
      <c r="AB222" s="8"/>
    </row>
    <row r="223" spans="1:28" ht="14.25" customHeight="1" x14ac:dyDescent="0.25">
      <c r="A223" s="34">
        <v>194</v>
      </c>
      <c r="B223" s="24"/>
      <c r="C223" s="11"/>
      <c r="D223" s="12"/>
      <c r="E223" s="12"/>
      <c r="F223" s="11"/>
      <c r="G223" s="11"/>
      <c r="H223" s="24"/>
      <c r="I223" s="11"/>
      <c r="J223" s="11"/>
      <c r="K223" s="45"/>
      <c r="L223" s="46"/>
      <c r="M223" s="24"/>
      <c r="N223" s="24"/>
      <c r="O223" s="8"/>
      <c r="P223" s="7" t="s">
        <v>651</v>
      </c>
      <c r="Q223" s="8"/>
      <c r="R223" s="8"/>
      <c r="S223" s="8"/>
      <c r="T223" s="8"/>
      <c r="U223" s="8"/>
      <c r="V223" s="8"/>
      <c r="W223" s="8"/>
      <c r="X223" s="8"/>
      <c r="Y223" s="8"/>
      <c r="Z223" s="8"/>
      <c r="AA223" s="8"/>
      <c r="AB223" s="8"/>
    </row>
    <row r="224" spans="1:28" ht="14.25" customHeight="1" x14ac:dyDescent="0.25">
      <c r="A224" s="34">
        <v>195</v>
      </c>
      <c r="B224" s="24"/>
      <c r="C224" s="11"/>
      <c r="D224" s="12"/>
      <c r="E224" s="12"/>
      <c r="F224" s="11"/>
      <c r="G224" s="11"/>
      <c r="H224" s="24"/>
      <c r="I224" s="11"/>
      <c r="J224" s="11"/>
      <c r="K224" s="45"/>
      <c r="L224" s="46"/>
      <c r="M224" s="24"/>
      <c r="N224" s="24"/>
      <c r="O224" s="8"/>
      <c r="P224" s="7" t="s">
        <v>652</v>
      </c>
      <c r="Q224" s="8"/>
      <c r="R224" s="8"/>
      <c r="S224" s="8"/>
      <c r="T224" s="8"/>
      <c r="U224" s="8"/>
      <c r="V224" s="8"/>
      <c r="W224" s="8"/>
      <c r="X224" s="8"/>
      <c r="Y224" s="8"/>
      <c r="Z224" s="8"/>
      <c r="AA224" s="8"/>
      <c r="AB224" s="8"/>
    </row>
    <row r="225" spans="1:28" ht="14.25" customHeight="1" x14ac:dyDescent="0.25">
      <c r="A225" s="34">
        <v>196</v>
      </c>
      <c r="B225" s="24"/>
      <c r="C225" s="11"/>
      <c r="D225" s="12"/>
      <c r="E225" s="12"/>
      <c r="F225" s="11"/>
      <c r="G225" s="11"/>
      <c r="H225" s="24"/>
      <c r="I225" s="11"/>
      <c r="J225" s="11"/>
      <c r="K225" s="45"/>
      <c r="L225" s="46"/>
      <c r="M225" s="24"/>
      <c r="N225" s="24"/>
      <c r="O225" s="8"/>
      <c r="P225" s="7" t="s">
        <v>653</v>
      </c>
      <c r="Q225" s="8"/>
      <c r="R225" s="8"/>
      <c r="S225" s="8"/>
      <c r="T225" s="8"/>
      <c r="U225" s="8"/>
      <c r="V225" s="8"/>
      <c r="W225" s="8"/>
      <c r="X225" s="8"/>
      <c r="Y225" s="8"/>
      <c r="Z225" s="8"/>
      <c r="AA225" s="8"/>
      <c r="AB225" s="8"/>
    </row>
    <row r="226" spans="1:28" ht="14.25" customHeight="1" x14ac:dyDescent="0.25">
      <c r="A226" s="34">
        <v>197</v>
      </c>
      <c r="B226" s="24"/>
      <c r="C226" s="11"/>
      <c r="D226" s="12"/>
      <c r="E226" s="12"/>
      <c r="F226" s="11"/>
      <c r="G226" s="11"/>
      <c r="H226" s="24"/>
      <c r="I226" s="11"/>
      <c r="J226" s="11"/>
      <c r="K226" s="45"/>
      <c r="L226" s="46"/>
      <c r="M226" s="24"/>
      <c r="N226" s="24"/>
      <c r="O226" s="8"/>
      <c r="P226" s="7" t="s">
        <v>654</v>
      </c>
      <c r="Q226" s="8"/>
      <c r="R226" s="8"/>
      <c r="S226" s="8"/>
      <c r="T226" s="8"/>
      <c r="U226" s="8"/>
      <c r="V226" s="8"/>
      <c r="W226" s="8"/>
      <c r="X226" s="8"/>
      <c r="Y226" s="8"/>
      <c r="Z226" s="8"/>
      <c r="AA226" s="8"/>
      <c r="AB226" s="8"/>
    </row>
    <row r="227" spans="1:28" ht="14.25" customHeight="1" x14ac:dyDescent="0.25">
      <c r="A227" s="34">
        <v>198</v>
      </c>
      <c r="B227" s="24"/>
      <c r="C227" s="11"/>
      <c r="D227" s="12"/>
      <c r="E227" s="12"/>
      <c r="F227" s="11"/>
      <c r="G227" s="11"/>
      <c r="H227" s="24"/>
      <c r="I227" s="11"/>
      <c r="J227" s="11"/>
      <c r="K227" s="45"/>
      <c r="L227" s="46"/>
      <c r="M227" s="24"/>
      <c r="N227" s="24"/>
      <c r="O227" s="8"/>
      <c r="P227" s="7" t="s">
        <v>655</v>
      </c>
      <c r="Q227" s="8"/>
      <c r="R227" s="8"/>
      <c r="S227" s="8"/>
      <c r="T227" s="8"/>
      <c r="U227" s="8"/>
      <c r="V227" s="8"/>
      <c r="W227" s="8"/>
      <c r="X227" s="8"/>
      <c r="Y227" s="8"/>
      <c r="Z227" s="8"/>
      <c r="AA227" s="8"/>
      <c r="AB227" s="8"/>
    </row>
    <row r="228" spans="1:28" ht="14.25" customHeight="1" x14ac:dyDescent="0.25">
      <c r="A228" s="34">
        <v>199</v>
      </c>
      <c r="B228" s="24"/>
      <c r="C228" s="11"/>
      <c r="D228" s="12"/>
      <c r="E228" s="12"/>
      <c r="F228" s="11"/>
      <c r="G228" s="11"/>
      <c r="H228" s="24"/>
      <c r="I228" s="11"/>
      <c r="J228" s="11"/>
      <c r="K228" s="45"/>
      <c r="L228" s="46"/>
      <c r="M228" s="24"/>
      <c r="N228" s="24"/>
      <c r="O228" s="8"/>
      <c r="P228" s="7" t="s">
        <v>656</v>
      </c>
      <c r="Q228" s="8"/>
      <c r="R228" s="8"/>
      <c r="S228" s="8"/>
      <c r="T228" s="8"/>
      <c r="U228" s="8"/>
      <c r="V228" s="8"/>
      <c r="W228" s="8"/>
      <c r="X228" s="8"/>
      <c r="Y228" s="8"/>
      <c r="Z228" s="8"/>
      <c r="AA228" s="8"/>
      <c r="AB228" s="8"/>
    </row>
    <row r="229" spans="1:28" ht="14.25" customHeight="1" x14ac:dyDescent="0.25">
      <c r="A229" s="34">
        <v>200</v>
      </c>
      <c r="B229" s="24"/>
      <c r="C229" s="11"/>
      <c r="D229" s="12"/>
      <c r="E229" s="12"/>
      <c r="F229" s="11"/>
      <c r="G229" s="11"/>
      <c r="H229" s="24"/>
      <c r="I229" s="11"/>
      <c r="J229" s="11"/>
      <c r="K229" s="45"/>
      <c r="L229" s="46"/>
      <c r="M229" s="24"/>
      <c r="N229" s="24"/>
      <c r="O229" s="8"/>
      <c r="P229" s="7" t="s">
        <v>657</v>
      </c>
      <c r="Q229" s="8"/>
      <c r="R229" s="8"/>
      <c r="S229" s="8"/>
      <c r="T229" s="8"/>
      <c r="U229" s="8"/>
      <c r="V229" s="8"/>
      <c r="W229" s="8"/>
      <c r="X229" s="8"/>
      <c r="Y229" s="8"/>
      <c r="Z229" s="8"/>
      <c r="AA229" s="8"/>
      <c r="AB229" s="8"/>
    </row>
    <row r="230" spans="1:28" ht="14.25" customHeight="1" x14ac:dyDescent="0.25">
      <c r="A230" s="34">
        <v>201</v>
      </c>
      <c r="B230" s="24"/>
      <c r="C230" s="11"/>
      <c r="D230" s="12"/>
      <c r="E230" s="12"/>
      <c r="F230" s="11"/>
      <c r="G230" s="11"/>
      <c r="H230" s="24"/>
      <c r="I230" s="11"/>
      <c r="J230" s="11"/>
      <c r="K230" s="45"/>
      <c r="L230" s="46"/>
      <c r="M230" s="24"/>
      <c r="N230" s="24"/>
      <c r="O230" s="8"/>
      <c r="P230" s="7" t="s">
        <v>658</v>
      </c>
      <c r="Q230" s="8"/>
      <c r="R230" s="8"/>
      <c r="S230" s="8"/>
      <c r="T230" s="8"/>
      <c r="U230" s="8"/>
      <c r="V230" s="8"/>
      <c r="W230" s="8"/>
      <c r="X230" s="8"/>
      <c r="Y230" s="8"/>
      <c r="Z230" s="8"/>
      <c r="AA230" s="8"/>
      <c r="AB230" s="8"/>
    </row>
    <row r="231" spans="1:28" ht="14.25" customHeight="1" x14ac:dyDescent="0.25">
      <c r="A231" s="34">
        <v>202</v>
      </c>
      <c r="B231" s="24"/>
      <c r="C231" s="11"/>
      <c r="D231" s="12"/>
      <c r="E231" s="12"/>
      <c r="F231" s="11"/>
      <c r="G231" s="11"/>
      <c r="H231" s="24"/>
      <c r="I231" s="11"/>
      <c r="J231" s="11"/>
      <c r="K231" s="45"/>
      <c r="L231" s="46"/>
      <c r="M231" s="24"/>
      <c r="N231" s="24"/>
      <c r="O231" s="8"/>
      <c r="P231" s="7" t="s">
        <v>659</v>
      </c>
      <c r="Q231" s="8"/>
      <c r="R231" s="8"/>
      <c r="S231" s="8"/>
      <c r="T231" s="8"/>
      <c r="U231" s="8"/>
      <c r="V231" s="8"/>
      <c r="W231" s="8"/>
      <c r="X231" s="8"/>
      <c r="Y231" s="8"/>
      <c r="Z231" s="8"/>
      <c r="AA231" s="8"/>
      <c r="AB231" s="8"/>
    </row>
    <row r="232" spans="1:28" ht="14.25" customHeight="1" x14ac:dyDescent="0.25">
      <c r="A232" s="34">
        <v>203</v>
      </c>
      <c r="B232" s="24"/>
      <c r="C232" s="11"/>
      <c r="D232" s="12"/>
      <c r="E232" s="12"/>
      <c r="F232" s="11"/>
      <c r="G232" s="11"/>
      <c r="H232" s="24"/>
      <c r="I232" s="11"/>
      <c r="J232" s="11"/>
      <c r="K232" s="45"/>
      <c r="L232" s="46"/>
      <c r="M232" s="24"/>
      <c r="N232" s="24"/>
      <c r="O232" s="8"/>
      <c r="P232" s="7" t="s">
        <v>660</v>
      </c>
      <c r="Q232" s="8"/>
      <c r="R232" s="8"/>
      <c r="S232" s="8"/>
      <c r="T232" s="8"/>
      <c r="U232" s="8"/>
      <c r="V232" s="8"/>
      <c r="W232" s="8"/>
      <c r="X232" s="8"/>
      <c r="Y232" s="8"/>
      <c r="Z232" s="8"/>
      <c r="AA232" s="8"/>
      <c r="AB232" s="8"/>
    </row>
    <row r="233" spans="1:28" ht="14.25" customHeight="1" x14ac:dyDescent="0.25">
      <c r="A233" s="34">
        <v>204</v>
      </c>
      <c r="B233" s="24"/>
      <c r="C233" s="11"/>
      <c r="D233" s="12"/>
      <c r="E233" s="12"/>
      <c r="F233" s="11"/>
      <c r="G233" s="11"/>
      <c r="H233" s="24"/>
      <c r="I233" s="11"/>
      <c r="J233" s="11"/>
      <c r="K233" s="45"/>
      <c r="L233" s="46"/>
      <c r="M233" s="24"/>
      <c r="N233" s="24"/>
      <c r="O233" s="8"/>
      <c r="P233" s="7" t="s">
        <v>661</v>
      </c>
      <c r="Q233" s="8"/>
      <c r="R233" s="8"/>
      <c r="S233" s="8"/>
      <c r="T233" s="8"/>
      <c r="U233" s="8"/>
      <c r="V233" s="8"/>
      <c r="W233" s="8"/>
      <c r="X233" s="8"/>
      <c r="Y233" s="8"/>
      <c r="Z233" s="8"/>
      <c r="AA233" s="8"/>
      <c r="AB233" s="8"/>
    </row>
    <row r="234" spans="1:28" ht="14.25" customHeight="1" x14ac:dyDescent="0.25">
      <c r="A234" s="34">
        <v>205</v>
      </c>
      <c r="B234" s="24"/>
      <c r="C234" s="11"/>
      <c r="D234" s="12"/>
      <c r="E234" s="12"/>
      <c r="F234" s="11"/>
      <c r="G234" s="11"/>
      <c r="H234" s="24"/>
      <c r="I234" s="11"/>
      <c r="J234" s="11"/>
      <c r="K234" s="45"/>
      <c r="L234" s="46"/>
      <c r="M234" s="24"/>
      <c r="N234" s="24"/>
      <c r="O234" s="8"/>
      <c r="P234" s="7" t="s">
        <v>662</v>
      </c>
      <c r="Q234" s="8"/>
      <c r="R234" s="8"/>
      <c r="S234" s="8"/>
      <c r="T234" s="8"/>
      <c r="U234" s="8"/>
      <c r="V234" s="8"/>
      <c r="W234" s="8"/>
      <c r="X234" s="8"/>
      <c r="Y234" s="8"/>
      <c r="Z234" s="8"/>
      <c r="AA234" s="8"/>
      <c r="AB234" s="8"/>
    </row>
    <row r="235" spans="1:28" ht="14.25" customHeight="1" x14ac:dyDescent="0.25">
      <c r="A235" s="34">
        <v>206</v>
      </c>
      <c r="B235" s="24"/>
      <c r="C235" s="11"/>
      <c r="D235" s="12"/>
      <c r="E235" s="12"/>
      <c r="F235" s="11"/>
      <c r="G235" s="11"/>
      <c r="H235" s="24"/>
      <c r="I235" s="11"/>
      <c r="J235" s="11"/>
      <c r="K235" s="45"/>
      <c r="L235" s="46"/>
      <c r="M235" s="24"/>
      <c r="N235" s="24"/>
      <c r="O235" s="8"/>
      <c r="P235" s="7" t="s">
        <v>663</v>
      </c>
      <c r="Q235" s="8"/>
      <c r="R235" s="8"/>
      <c r="S235" s="8"/>
      <c r="T235" s="8"/>
      <c r="U235" s="8"/>
      <c r="V235" s="8"/>
      <c r="W235" s="8"/>
      <c r="X235" s="8"/>
      <c r="Y235" s="8"/>
      <c r="Z235" s="8"/>
      <c r="AA235" s="8"/>
      <c r="AB235" s="8"/>
    </row>
    <row r="236" spans="1:28" ht="14.25" customHeight="1" x14ac:dyDescent="0.25">
      <c r="A236" s="34">
        <v>207</v>
      </c>
      <c r="B236" s="24"/>
      <c r="C236" s="11"/>
      <c r="D236" s="12"/>
      <c r="E236" s="12"/>
      <c r="F236" s="11"/>
      <c r="G236" s="11"/>
      <c r="H236" s="24"/>
      <c r="I236" s="11"/>
      <c r="J236" s="11"/>
      <c r="K236" s="45"/>
      <c r="L236" s="46"/>
      <c r="M236" s="24"/>
      <c r="N236" s="24"/>
      <c r="O236" s="8"/>
      <c r="P236" s="7" t="s">
        <v>664</v>
      </c>
      <c r="Q236" s="8"/>
      <c r="R236" s="8"/>
      <c r="S236" s="8"/>
      <c r="T236" s="8"/>
      <c r="U236" s="8"/>
      <c r="V236" s="8"/>
      <c r="W236" s="8"/>
      <c r="X236" s="8"/>
      <c r="Y236" s="8"/>
      <c r="Z236" s="8"/>
      <c r="AA236" s="8"/>
      <c r="AB236" s="8"/>
    </row>
    <row r="237" spans="1:28" ht="14.25" customHeight="1" x14ac:dyDescent="0.25">
      <c r="A237" s="34">
        <v>208</v>
      </c>
      <c r="B237" s="24"/>
      <c r="C237" s="11"/>
      <c r="D237" s="12"/>
      <c r="E237" s="12"/>
      <c r="F237" s="11"/>
      <c r="G237" s="11"/>
      <c r="H237" s="24"/>
      <c r="I237" s="11"/>
      <c r="J237" s="11"/>
      <c r="K237" s="45"/>
      <c r="L237" s="46"/>
      <c r="M237" s="24"/>
      <c r="N237" s="24"/>
      <c r="O237" s="8"/>
      <c r="P237" s="7" t="s">
        <v>665</v>
      </c>
      <c r="Q237" s="8"/>
      <c r="R237" s="8"/>
      <c r="S237" s="8"/>
      <c r="T237" s="8"/>
      <c r="U237" s="8"/>
      <c r="V237" s="8"/>
      <c r="W237" s="8"/>
      <c r="X237" s="8"/>
      <c r="Y237" s="8"/>
      <c r="Z237" s="8"/>
      <c r="AA237" s="8"/>
      <c r="AB237" s="8"/>
    </row>
    <row r="238" spans="1:28" ht="14.25" customHeight="1" x14ac:dyDescent="0.25">
      <c r="A238" s="34">
        <v>209</v>
      </c>
      <c r="B238" s="24"/>
      <c r="C238" s="11"/>
      <c r="D238" s="12"/>
      <c r="E238" s="12"/>
      <c r="F238" s="11"/>
      <c r="G238" s="11"/>
      <c r="H238" s="24"/>
      <c r="I238" s="11"/>
      <c r="J238" s="11"/>
      <c r="K238" s="45"/>
      <c r="L238" s="46"/>
      <c r="M238" s="24"/>
      <c r="N238" s="24"/>
      <c r="O238" s="8"/>
      <c r="P238" s="7" t="s">
        <v>666</v>
      </c>
      <c r="Q238" s="8"/>
      <c r="R238" s="8"/>
      <c r="S238" s="8"/>
      <c r="T238" s="8"/>
      <c r="U238" s="8"/>
      <c r="V238" s="8"/>
      <c r="W238" s="8"/>
      <c r="X238" s="8"/>
      <c r="Y238" s="8"/>
      <c r="Z238" s="8"/>
      <c r="AA238" s="8"/>
      <c r="AB238" s="8"/>
    </row>
    <row r="239" spans="1:28" ht="14.25" customHeight="1" x14ac:dyDescent="0.25">
      <c r="A239" s="34">
        <v>210</v>
      </c>
      <c r="B239" s="24"/>
      <c r="C239" s="11"/>
      <c r="D239" s="12"/>
      <c r="E239" s="12"/>
      <c r="F239" s="11"/>
      <c r="G239" s="11"/>
      <c r="H239" s="24"/>
      <c r="I239" s="11"/>
      <c r="J239" s="11"/>
      <c r="K239" s="45"/>
      <c r="L239" s="46"/>
      <c r="M239" s="24"/>
      <c r="N239" s="24"/>
      <c r="O239" s="8"/>
      <c r="P239" s="7" t="s">
        <v>667</v>
      </c>
      <c r="Q239" s="8"/>
      <c r="R239" s="8"/>
      <c r="S239" s="8"/>
      <c r="T239" s="8"/>
      <c r="U239" s="8"/>
      <c r="V239" s="8"/>
      <c r="W239" s="8"/>
      <c r="X239" s="8"/>
      <c r="Y239" s="8"/>
      <c r="Z239" s="8"/>
      <c r="AA239" s="8"/>
      <c r="AB239" s="8"/>
    </row>
    <row r="240" spans="1:28" ht="14.25" customHeight="1" x14ac:dyDescent="0.25">
      <c r="A240" s="34">
        <v>211</v>
      </c>
      <c r="B240" s="24"/>
      <c r="C240" s="11"/>
      <c r="D240" s="12"/>
      <c r="E240" s="12"/>
      <c r="F240" s="11"/>
      <c r="G240" s="11"/>
      <c r="H240" s="24"/>
      <c r="I240" s="11"/>
      <c r="J240" s="11"/>
      <c r="K240" s="45"/>
      <c r="L240" s="46"/>
      <c r="M240" s="24"/>
      <c r="N240" s="24"/>
      <c r="O240" s="8"/>
      <c r="P240" s="7" t="s">
        <v>668</v>
      </c>
      <c r="Q240" s="8"/>
      <c r="R240" s="8"/>
      <c r="S240" s="8"/>
      <c r="T240" s="8"/>
      <c r="U240" s="8"/>
      <c r="V240" s="8"/>
      <c r="W240" s="8"/>
      <c r="X240" s="8"/>
      <c r="Y240" s="8"/>
      <c r="Z240" s="8"/>
      <c r="AA240" s="8"/>
      <c r="AB240" s="8"/>
    </row>
    <row r="241" spans="1:28" ht="14.25" customHeight="1" x14ac:dyDescent="0.25">
      <c r="A241" s="34">
        <v>212</v>
      </c>
      <c r="B241" s="24"/>
      <c r="C241" s="11"/>
      <c r="D241" s="12"/>
      <c r="E241" s="12"/>
      <c r="F241" s="11"/>
      <c r="G241" s="11"/>
      <c r="H241" s="24"/>
      <c r="I241" s="11"/>
      <c r="J241" s="11"/>
      <c r="K241" s="45"/>
      <c r="L241" s="46"/>
      <c r="M241" s="24"/>
      <c r="N241" s="24"/>
      <c r="O241" s="8"/>
      <c r="P241" s="7" t="s">
        <v>669</v>
      </c>
      <c r="Q241" s="8"/>
      <c r="R241" s="8"/>
      <c r="S241" s="8"/>
      <c r="T241" s="8"/>
      <c r="U241" s="8"/>
      <c r="V241" s="8"/>
      <c r="W241" s="8"/>
      <c r="X241" s="8"/>
      <c r="Y241" s="8"/>
      <c r="Z241" s="8"/>
      <c r="AA241" s="8"/>
      <c r="AB241" s="8"/>
    </row>
    <row r="242" spans="1:28" ht="14.25" customHeight="1" x14ac:dyDescent="0.25">
      <c r="A242" s="34">
        <v>213</v>
      </c>
      <c r="B242" s="24"/>
      <c r="C242" s="11"/>
      <c r="D242" s="12"/>
      <c r="E242" s="12"/>
      <c r="F242" s="11"/>
      <c r="G242" s="11"/>
      <c r="H242" s="24"/>
      <c r="I242" s="11"/>
      <c r="J242" s="11"/>
      <c r="K242" s="45"/>
      <c r="L242" s="46"/>
      <c r="M242" s="24"/>
      <c r="N242" s="24"/>
      <c r="O242" s="8"/>
      <c r="P242" s="7" t="s">
        <v>670</v>
      </c>
      <c r="Q242" s="8"/>
      <c r="R242" s="8"/>
      <c r="S242" s="8"/>
      <c r="T242" s="8"/>
      <c r="U242" s="8"/>
      <c r="V242" s="8"/>
      <c r="W242" s="8"/>
      <c r="X242" s="8"/>
      <c r="Y242" s="8"/>
      <c r="Z242" s="8"/>
      <c r="AA242" s="8"/>
      <c r="AB242" s="8"/>
    </row>
    <row r="243" spans="1:28" ht="14.25" customHeight="1" x14ac:dyDescent="0.25">
      <c r="A243" s="34">
        <v>214</v>
      </c>
      <c r="B243" s="24"/>
      <c r="C243" s="11"/>
      <c r="D243" s="12"/>
      <c r="E243" s="12"/>
      <c r="F243" s="11"/>
      <c r="G243" s="11"/>
      <c r="H243" s="24"/>
      <c r="I243" s="11"/>
      <c r="J243" s="11"/>
      <c r="K243" s="45"/>
      <c r="L243" s="46"/>
      <c r="M243" s="24"/>
      <c r="N243" s="24"/>
      <c r="O243" s="8"/>
      <c r="P243" s="7" t="s">
        <v>671</v>
      </c>
      <c r="Q243" s="8"/>
      <c r="R243" s="8"/>
      <c r="S243" s="8"/>
      <c r="T243" s="8"/>
      <c r="U243" s="8"/>
      <c r="V243" s="8"/>
      <c r="W243" s="8"/>
      <c r="X243" s="8"/>
      <c r="Y243" s="8"/>
      <c r="Z243" s="8"/>
      <c r="AA243" s="8"/>
      <c r="AB243" s="8"/>
    </row>
    <row r="244" spans="1:28" ht="14.25" customHeight="1" x14ac:dyDescent="0.25">
      <c r="A244" s="34">
        <v>215</v>
      </c>
      <c r="B244" s="24"/>
      <c r="C244" s="11"/>
      <c r="D244" s="12"/>
      <c r="E244" s="12"/>
      <c r="F244" s="11"/>
      <c r="G244" s="11"/>
      <c r="H244" s="24"/>
      <c r="I244" s="11"/>
      <c r="J244" s="11"/>
      <c r="K244" s="45"/>
      <c r="L244" s="46"/>
      <c r="M244" s="24"/>
      <c r="N244" s="24"/>
      <c r="O244" s="8"/>
      <c r="P244" s="7" t="s">
        <v>672</v>
      </c>
      <c r="Q244" s="8"/>
      <c r="R244" s="8"/>
      <c r="S244" s="8"/>
      <c r="T244" s="8"/>
      <c r="U244" s="8"/>
      <c r="V244" s="8"/>
      <c r="W244" s="8"/>
      <c r="X244" s="8"/>
      <c r="Y244" s="8"/>
      <c r="Z244" s="8"/>
      <c r="AA244" s="8"/>
      <c r="AB244" s="8"/>
    </row>
    <row r="245" spans="1:28" ht="14.25" customHeight="1" x14ac:dyDescent="0.25">
      <c r="A245" s="34">
        <v>216</v>
      </c>
      <c r="B245" s="24"/>
      <c r="C245" s="11"/>
      <c r="D245" s="12"/>
      <c r="E245" s="12"/>
      <c r="F245" s="11"/>
      <c r="G245" s="11"/>
      <c r="H245" s="24"/>
      <c r="I245" s="11"/>
      <c r="J245" s="11"/>
      <c r="K245" s="45"/>
      <c r="L245" s="46"/>
      <c r="M245" s="24"/>
      <c r="N245" s="24"/>
      <c r="O245" s="8"/>
      <c r="P245" s="7" t="s">
        <v>673</v>
      </c>
      <c r="Q245" s="8"/>
      <c r="R245" s="8"/>
      <c r="S245" s="8"/>
      <c r="T245" s="8"/>
      <c r="U245" s="8"/>
      <c r="V245" s="8"/>
      <c r="W245" s="8"/>
      <c r="X245" s="8"/>
      <c r="Y245" s="8"/>
      <c r="Z245" s="8"/>
      <c r="AA245" s="8"/>
      <c r="AB245" s="8"/>
    </row>
    <row r="246" spans="1:28" ht="14.25" customHeight="1" x14ac:dyDescent="0.25">
      <c r="A246" s="34">
        <v>217</v>
      </c>
      <c r="B246" s="24"/>
      <c r="C246" s="11"/>
      <c r="D246" s="12"/>
      <c r="E246" s="12"/>
      <c r="F246" s="11"/>
      <c r="G246" s="11"/>
      <c r="H246" s="24"/>
      <c r="I246" s="11"/>
      <c r="J246" s="11"/>
      <c r="K246" s="45"/>
      <c r="L246" s="46"/>
      <c r="M246" s="24"/>
      <c r="N246" s="24"/>
      <c r="O246" s="8"/>
      <c r="P246" s="7" t="s">
        <v>674</v>
      </c>
      <c r="Q246" s="8"/>
      <c r="R246" s="8"/>
      <c r="S246" s="8"/>
      <c r="T246" s="8"/>
      <c r="U246" s="8"/>
      <c r="V246" s="8"/>
      <c r="W246" s="8"/>
      <c r="X246" s="8"/>
      <c r="Y246" s="8"/>
      <c r="Z246" s="8"/>
      <c r="AA246" s="8"/>
      <c r="AB246" s="8"/>
    </row>
    <row r="247" spans="1:28" ht="14.25" customHeight="1" x14ac:dyDescent="0.25">
      <c r="A247" s="34">
        <v>218</v>
      </c>
      <c r="B247" s="24"/>
      <c r="C247" s="11"/>
      <c r="D247" s="12"/>
      <c r="E247" s="12"/>
      <c r="F247" s="11"/>
      <c r="G247" s="11"/>
      <c r="H247" s="24"/>
      <c r="I247" s="11"/>
      <c r="J247" s="11"/>
      <c r="K247" s="45"/>
      <c r="L247" s="46"/>
      <c r="M247" s="24"/>
      <c r="N247" s="24"/>
      <c r="O247" s="8"/>
      <c r="P247" s="7" t="s">
        <v>675</v>
      </c>
      <c r="Q247" s="8"/>
      <c r="R247" s="8"/>
      <c r="S247" s="8"/>
      <c r="T247" s="8"/>
      <c r="U247" s="8"/>
      <c r="V247" s="8"/>
      <c r="W247" s="8"/>
      <c r="X247" s="8"/>
      <c r="Y247" s="8"/>
      <c r="Z247" s="8"/>
      <c r="AA247" s="8"/>
      <c r="AB247" s="8"/>
    </row>
    <row r="248" spans="1:28" ht="14.25" customHeight="1" x14ac:dyDescent="0.25">
      <c r="A248" s="34">
        <v>219</v>
      </c>
      <c r="B248" s="24"/>
      <c r="C248" s="11"/>
      <c r="D248" s="12"/>
      <c r="E248" s="12"/>
      <c r="F248" s="11"/>
      <c r="G248" s="11"/>
      <c r="H248" s="24"/>
      <c r="I248" s="11"/>
      <c r="J248" s="11"/>
      <c r="K248" s="45"/>
      <c r="L248" s="46"/>
      <c r="M248" s="24"/>
      <c r="N248" s="24"/>
      <c r="O248" s="8"/>
      <c r="P248" s="7" t="s">
        <v>676</v>
      </c>
      <c r="Q248" s="8"/>
      <c r="R248" s="8"/>
      <c r="S248" s="8"/>
      <c r="T248" s="8"/>
      <c r="U248" s="8"/>
      <c r="V248" s="8"/>
      <c r="W248" s="8"/>
      <c r="X248" s="8"/>
      <c r="Y248" s="8"/>
      <c r="Z248" s="8"/>
      <c r="AA248" s="8"/>
      <c r="AB248" s="8"/>
    </row>
    <row r="249" spans="1:28" ht="14.25" customHeight="1" x14ac:dyDescent="0.25">
      <c r="A249" s="34">
        <v>220</v>
      </c>
      <c r="B249" s="24"/>
      <c r="C249" s="11"/>
      <c r="D249" s="12"/>
      <c r="E249" s="12"/>
      <c r="F249" s="11"/>
      <c r="G249" s="11"/>
      <c r="H249" s="24"/>
      <c r="I249" s="11"/>
      <c r="J249" s="11"/>
      <c r="K249" s="45"/>
      <c r="L249" s="46"/>
      <c r="M249" s="24"/>
      <c r="N249" s="24"/>
      <c r="O249" s="8"/>
      <c r="P249" s="7" t="s">
        <v>677</v>
      </c>
      <c r="Q249" s="8"/>
      <c r="R249" s="8"/>
      <c r="S249" s="8"/>
      <c r="T249" s="8"/>
      <c r="U249" s="8"/>
      <c r="V249" s="8"/>
      <c r="W249" s="8"/>
      <c r="X249" s="8"/>
      <c r="Y249" s="8"/>
      <c r="Z249" s="8"/>
      <c r="AA249" s="8"/>
      <c r="AB249" s="8"/>
    </row>
    <row r="250" spans="1:28" ht="14.25" customHeight="1" x14ac:dyDescent="0.25">
      <c r="A250" s="34">
        <v>221</v>
      </c>
      <c r="B250" s="24"/>
      <c r="C250" s="11"/>
      <c r="D250" s="12"/>
      <c r="E250" s="12"/>
      <c r="F250" s="11"/>
      <c r="G250" s="11"/>
      <c r="H250" s="24"/>
      <c r="I250" s="11"/>
      <c r="J250" s="11"/>
      <c r="K250" s="45"/>
      <c r="L250" s="46"/>
      <c r="M250" s="24"/>
      <c r="N250" s="24"/>
      <c r="O250" s="8"/>
      <c r="P250" s="7" t="s">
        <v>678</v>
      </c>
      <c r="Q250" s="8"/>
      <c r="R250" s="8"/>
      <c r="S250" s="8"/>
      <c r="T250" s="8"/>
      <c r="U250" s="8"/>
      <c r="V250" s="8"/>
      <c r="W250" s="8"/>
      <c r="X250" s="8"/>
      <c r="Y250" s="8"/>
      <c r="Z250" s="8"/>
      <c r="AA250" s="8"/>
      <c r="AB250" s="8"/>
    </row>
    <row r="251" spans="1:28" ht="14.25" customHeight="1" x14ac:dyDescent="0.25">
      <c r="A251" s="34">
        <v>222</v>
      </c>
      <c r="B251" s="24"/>
      <c r="C251" s="11"/>
      <c r="D251" s="12"/>
      <c r="E251" s="12"/>
      <c r="F251" s="11"/>
      <c r="G251" s="11"/>
      <c r="H251" s="24"/>
      <c r="I251" s="11"/>
      <c r="J251" s="11"/>
      <c r="K251" s="45"/>
      <c r="L251" s="46"/>
      <c r="M251" s="24"/>
      <c r="N251" s="24"/>
      <c r="O251" s="8"/>
      <c r="P251" s="7" t="s">
        <v>679</v>
      </c>
      <c r="Q251" s="8"/>
      <c r="R251" s="8"/>
      <c r="S251" s="8"/>
      <c r="T251" s="8"/>
      <c r="U251" s="8"/>
      <c r="V251" s="8"/>
      <c r="W251" s="8"/>
      <c r="X251" s="8"/>
      <c r="Y251" s="8"/>
      <c r="Z251" s="8"/>
      <c r="AA251" s="8"/>
      <c r="AB251" s="8"/>
    </row>
    <row r="252" spans="1:28" ht="14.25" customHeight="1" x14ac:dyDescent="0.25">
      <c r="A252" s="34">
        <v>223</v>
      </c>
      <c r="B252" s="24"/>
      <c r="C252" s="11"/>
      <c r="D252" s="12"/>
      <c r="E252" s="12"/>
      <c r="F252" s="11"/>
      <c r="G252" s="11"/>
      <c r="H252" s="24"/>
      <c r="I252" s="11"/>
      <c r="J252" s="11"/>
      <c r="K252" s="45"/>
      <c r="L252" s="46"/>
      <c r="M252" s="24"/>
      <c r="N252" s="24"/>
      <c r="O252" s="8"/>
      <c r="P252" s="7" t="s">
        <v>680</v>
      </c>
      <c r="Q252" s="8"/>
      <c r="R252" s="8"/>
      <c r="S252" s="8"/>
      <c r="T252" s="8"/>
      <c r="U252" s="8"/>
      <c r="V252" s="8"/>
      <c r="W252" s="8"/>
      <c r="X252" s="8"/>
      <c r="Y252" s="8"/>
      <c r="Z252" s="8"/>
      <c r="AA252" s="8"/>
      <c r="AB252" s="8"/>
    </row>
    <row r="253" spans="1:28" ht="14.25" customHeight="1" x14ac:dyDescent="0.25">
      <c r="A253" s="34">
        <v>224</v>
      </c>
      <c r="B253" s="24"/>
      <c r="C253" s="11"/>
      <c r="D253" s="12"/>
      <c r="E253" s="12"/>
      <c r="F253" s="11"/>
      <c r="G253" s="11"/>
      <c r="H253" s="24"/>
      <c r="I253" s="11"/>
      <c r="J253" s="11"/>
      <c r="K253" s="45"/>
      <c r="L253" s="46"/>
      <c r="M253" s="24"/>
      <c r="N253" s="24"/>
      <c r="O253" s="8"/>
      <c r="P253" s="7" t="s">
        <v>681</v>
      </c>
      <c r="Q253" s="8"/>
      <c r="R253" s="8"/>
      <c r="S253" s="8"/>
      <c r="T253" s="8"/>
      <c r="U253" s="8"/>
      <c r="V253" s="8"/>
      <c r="W253" s="8"/>
      <c r="X253" s="8"/>
      <c r="Y253" s="8"/>
      <c r="Z253" s="8"/>
      <c r="AA253" s="8"/>
      <c r="AB253" s="8"/>
    </row>
    <row r="254" spans="1:28" ht="14.25" customHeight="1" x14ac:dyDescent="0.25">
      <c r="A254" s="34">
        <v>225</v>
      </c>
      <c r="B254" s="24"/>
      <c r="C254" s="11"/>
      <c r="D254" s="12"/>
      <c r="E254" s="12"/>
      <c r="F254" s="11"/>
      <c r="G254" s="11"/>
      <c r="H254" s="24"/>
      <c r="I254" s="11"/>
      <c r="J254" s="11"/>
      <c r="K254" s="45"/>
      <c r="L254" s="46"/>
      <c r="M254" s="24"/>
      <c r="N254" s="24"/>
      <c r="O254" s="8"/>
      <c r="P254" s="7" t="s">
        <v>682</v>
      </c>
      <c r="Q254" s="8"/>
      <c r="R254" s="8"/>
      <c r="S254" s="8"/>
      <c r="T254" s="8"/>
      <c r="U254" s="8"/>
      <c r="V254" s="8"/>
      <c r="W254" s="8"/>
      <c r="X254" s="8"/>
      <c r="Y254" s="8"/>
      <c r="Z254" s="8"/>
      <c r="AA254" s="8"/>
      <c r="AB254" s="8"/>
    </row>
    <row r="255" spans="1:28" ht="14.25" customHeight="1" x14ac:dyDescent="0.25">
      <c r="A255" s="47"/>
      <c r="B255" s="24"/>
      <c r="C255" s="11"/>
      <c r="D255" s="12"/>
      <c r="E255" s="12"/>
      <c r="F255" s="11"/>
      <c r="G255" s="11"/>
      <c r="H255" s="24"/>
      <c r="I255" s="11"/>
      <c r="J255" s="11"/>
      <c r="K255" s="45"/>
      <c r="L255" s="46"/>
      <c r="M255" s="24"/>
      <c r="N255" s="24"/>
      <c r="O255" s="8"/>
      <c r="P255" s="7"/>
      <c r="Q255" s="8"/>
      <c r="R255" s="8"/>
      <c r="S255" s="8"/>
      <c r="T255" s="8"/>
      <c r="U255" s="8"/>
      <c r="V255" s="8"/>
      <c r="W255" s="8"/>
      <c r="X255" s="8"/>
      <c r="Y255" s="8"/>
      <c r="Z255" s="8"/>
      <c r="AA255" s="8"/>
      <c r="AB255" s="8"/>
    </row>
    <row r="256" spans="1:28" ht="14.25" customHeight="1" x14ac:dyDescent="0.25">
      <c r="A256" s="47"/>
      <c r="B256" s="8"/>
      <c r="C256" s="8"/>
      <c r="D256" s="48"/>
      <c r="E256" s="48"/>
      <c r="F256" s="8"/>
      <c r="G256" s="8"/>
      <c r="H256" s="8"/>
      <c r="I256" s="8"/>
      <c r="J256" s="8"/>
      <c r="K256" s="48"/>
      <c r="L256" s="49"/>
      <c r="M256" s="8"/>
      <c r="N256" s="8"/>
      <c r="O256" s="8"/>
      <c r="P256" s="7"/>
      <c r="Q256" s="8"/>
      <c r="R256" s="8"/>
      <c r="S256" s="8"/>
      <c r="T256" s="8"/>
      <c r="U256" s="8"/>
      <c r="V256" s="8"/>
      <c r="W256" s="8"/>
      <c r="X256" s="8"/>
      <c r="Y256" s="8"/>
      <c r="Z256" s="8"/>
      <c r="AA256" s="8"/>
      <c r="AB256" s="8"/>
    </row>
    <row r="257" spans="1:28" ht="14.25" customHeight="1" x14ac:dyDescent="0.25">
      <c r="A257" s="47"/>
      <c r="B257" s="8"/>
      <c r="C257" s="8"/>
      <c r="D257" s="48"/>
      <c r="E257" s="48"/>
      <c r="F257" s="8"/>
      <c r="G257" s="8"/>
      <c r="H257" s="8"/>
      <c r="I257" s="8"/>
      <c r="J257" s="8"/>
      <c r="K257" s="48"/>
      <c r="L257" s="49"/>
      <c r="M257" s="8"/>
      <c r="N257" s="8"/>
      <c r="O257" s="8"/>
      <c r="P257" s="7"/>
      <c r="Q257" s="8"/>
      <c r="R257" s="8"/>
      <c r="S257" s="8"/>
      <c r="T257" s="8"/>
      <c r="U257" s="8"/>
      <c r="V257" s="8"/>
      <c r="W257" s="8"/>
      <c r="X257" s="8"/>
      <c r="Y257" s="8"/>
      <c r="Z257" s="8"/>
      <c r="AA257" s="8"/>
      <c r="AB257" s="8"/>
    </row>
    <row r="258" spans="1:28" ht="14.25" customHeight="1" x14ac:dyDescent="0.25">
      <c r="A258" s="47"/>
      <c r="B258" s="8"/>
      <c r="C258" s="8"/>
      <c r="D258" s="48"/>
      <c r="E258" s="48"/>
      <c r="F258" s="8"/>
      <c r="G258" s="8"/>
      <c r="H258" s="8"/>
      <c r="I258" s="8"/>
      <c r="J258" s="8"/>
      <c r="K258" s="48"/>
      <c r="L258" s="49"/>
      <c r="M258" s="8"/>
      <c r="N258" s="8"/>
      <c r="O258" s="8"/>
      <c r="P258" s="7"/>
      <c r="Q258" s="8"/>
      <c r="R258" s="8"/>
      <c r="S258" s="8"/>
      <c r="T258" s="8"/>
      <c r="U258" s="8"/>
      <c r="V258" s="8"/>
      <c r="W258" s="8"/>
      <c r="X258" s="8"/>
      <c r="Y258" s="8"/>
      <c r="Z258" s="8"/>
      <c r="AA258" s="8"/>
      <c r="AB258" s="8"/>
    </row>
    <row r="259" spans="1:28" ht="14.25" customHeight="1" x14ac:dyDescent="0.25">
      <c r="A259" s="47"/>
      <c r="B259" s="8"/>
      <c r="C259" s="8"/>
      <c r="D259" s="48"/>
      <c r="E259" s="48"/>
      <c r="F259" s="8"/>
      <c r="G259" s="8"/>
      <c r="H259" s="8"/>
      <c r="I259" s="8"/>
      <c r="J259" s="8"/>
      <c r="K259" s="48"/>
      <c r="L259" s="49"/>
      <c r="M259" s="8"/>
      <c r="N259" s="8"/>
      <c r="O259" s="8"/>
      <c r="P259" s="7"/>
      <c r="Q259" s="8"/>
      <c r="R259" s="8"/>
      <c r="S259" s="8"/>
      <c r="T259" s="8"/>
      <c r="U259" s="8"/>
      <c r="V259" s="8"/>
      <c r="W259" s="8"/>
      <c r="X259" s="8"/>
      <c r="Y259" s="8"/>
      <c r="Z259" s="8"/>
      <c r="AA259" s="8"/>
      <c r="AB259" s="8"/>
    </row>
    <row r="260" spans="1:28" ht="14.25" customHeight="1" x14ac:dyDescent="0.25">
      <c r="A260" s="47"/>
      <c r="B260" s="8"/>
      <c r="C260" s="8"/>
      <c r="D260" s="48"/>
      <c r="E260" s="48"/>
      <c r="F260" s="8"/>
      <c r="G260" s="8"/>
      <c r="H260" s="8"/>
      <c r="I260" s="8"/>
      <c r="J260" s="8"/>
      <c r="K260" s="48"/>
      <c r="L260" s="49"/>
      <c r="M260" s="8"/>
      <c r="N260" s="8"/>
      <c r="O260" s="8"/>
      <c r="P260" s="7"/>
      <c r="Q260" s="8"/>
      <c r="R260" s="8"/>
      <c r="S260" s="8"/>
      <c r="T260" s="8"/>
      <c r="U260" s="8"/>
      <c r="V260" s="8"/>
      <c r="W260" s="8"/>
      <c r="X260" s="8"/>
      <c r="Y260" s="8"/>
      <c r="Z260" s="8"/>
      <c r="AA260" s="8"/>
      <c r="AB260" s="8"/>
    </row>
    <row r="261" spans="1:28" ht="14.25" customHeight="1" x14ac:dyDescent="0.25">
      <c r="A261" s="47"/>
      <c r="B261" s="8"/>
      <c r="C261" s="8"/>
      <c r="D261" s="48"/>
      <c r="E261" s="48"/>
      <c r="F261" s="8"/>
      <c r="G261" s="8"/>
      <c r="H261" s="8"/>
      <c r="I261" s="8"/>
      <c r="J261" s="8"/>
      <c r="K261" s="48"/>
      <c r="L261" s="49"/>
      <c r="M261" s="8"/>
      <c r="N261" s="8"/>
      <c r="O261" s="8"/>
      <c r="P261" s="7"/>
      <c r="Q261" s="8"/>
      <c r="R261" s="8"/>
      <c r="S261" s="8"/>
      <c r="T261" s="8"/>
      <c r="U261" s="8"/>
      <c r="V261" s="8"/>
      <c r="W261" s="8"/>
      <c r="X261" s="8"/>
      <c r="Y261" s="8"/>
      <c r="Z261" s="8"/>
      <c r="AA261" s="8"/>
      <c r="AB261" s="8"/>
    </row>
    <row r="262" spans="1:28" ht="14.25" customHeight="1" x14ac:dyDescent="0.25">
      <c r="A262" s="47"/>
      <c r="B262" s="8"/>
      <c r="C262" s="8"/>
      <c r="D262" s="48"/>
      <c r="E262" s="48"/>
      <c r="F262" s="8"/>
      <c r="G262" s="8"/>
      <c r="H262" s="8"/>
      <c r="I262" s="8"/>
      <c r="J262" s="8"/>
      <c r="K262" s="48"/>
      <c r="L262" s="49"/>
      <c r="M262" s="8"/>
      <c r="N262" s="8"/>
      <c r="O262" s="8"/>
      <c r="P262" s="7"/>
      <c r="Q262" s="8"/>
      <c r="R262" s="8"/>
      <c r="S262" s="8"/>
      <c r="T262" s="8"/>
      <c r="U262" s="8"/>
      <c r="V262" s="8"/>
      <c r="W262" s="8"/>
      <c r="X262" s="8"/>
      <c r="Y262" s="8"/>
      <c r="Z262" s="8"/>
      <c r="AA262" s="8"/>
      <c r="AB262" s="8"/>
    </row>
    <row r="263" spans="1:28" ht="14.25" customHeight="1" x14ac:dyDescent="0.25">
      <c r="A263" s="47"/>
      <c r="B263" s="8"/>
      <c r="C263" s="8"/>
      <c r="D263" s="48"/>
      <c r="E263" s="48"/>
      <c r="F263" s="8"/>
      <c r="G263" s="8"/>
      <c r="H263" s="8"/>
      <c r="I263" s="8"/>
      <c r="J263" s="8"/>
      <c r="K263" s="48"/>
      <c r="L263" s="49"/>
      <c r="M263" s="8"/>
      <c r="N263" s="8"/>
      <c r="O263" s="8"/>
      <c r="P263" s="7"/>
      <c r="Q263" s="8"/>
      <c r="R263" s="8"/>
      <c r="S263" s="8"/>
      <c r="T263" s="8"/>
      <c r="U263" s="8"/>
      <c r="V263" s="8"/>
      <c r="W263" s="8"/>
      <c r="X263" s="8"/>
      <c r="Y263" s="8"/>
      <c r="Z263" s="8"/>
      <c r="AA263" s="8"/>
      <c r="AB263" s="8"/>
    </row>
    <row r="264" spans="1:28" ht="14.25" customHeight="1" x14ac:dyDescent="0.25">
      <c r="A264" s="47"/>
      <c r="B264" s="8"/>
      <c r="C264" s="8"/>
      <c r="D264" s="48"/>
      <c r="E264" s="48"/>
      <c r="F264" s="8"/>
      <c r="G264" s="8"/>
      <c r="H264" s="8"/>
      <c r="I264" s="8"/>
      <c r="J264" s="8"/>
      <c r="K264" s="48"/>
      <c r="L264" s="49"/>
      <c r="M264" s="8"/>
      <c r="N264" s="8"/>
      <c r="O264" s="8"/>
      <c r="P264" s="7"/>
      <c r="Q264" s="8"/>
      <c r="R264" s="8"/>
      <c r="S264" s="8"/>
      <c r="T264" s="8"/>
      <c r="U264" s="8"/>
      <c r="V264" s="8"/>
      <c r="W264" s="8"/>
      <c r="X264" s="8"/>
      <c r="Y264" s="8"/>
      <c r="Z264" s="8"/>
      <c r="AA264" s="8"/>
      <c r="AB264" s="8"/>
    </row>
    <row r="265" spans="1:28" ht="14.25" customHeight="1" x14ac:dyDescent="0.25">
      <c r="A265" s="47"/>
      <c r="B265" s="8"/>
      <c r="C265" s="8"/>
      <c r="D265" s="48"/>
      <c r="E265" s="48"/>
      <c r="F265" s="8"/>
      <c r="G265" s="8"/>
      <c r="H265" s="8"/>
      <c r="I265" s="8"/>
      <c r="J265" s="8"/>
      <c r="K265" s="48"/>
      <c r="L265" s="49"/>
      <c r="M265" s="8"/>
      <c r="N265" s="8"/>
      <c r="O265" s="8"/>
      <c r="P265" s="7"/>
      <c r="Q265" s="8"/>
      <c r="R265" s="8"/>
      <c r="S265" s="8"/>
      <c r="T265" s="8"/>
      <c r="U265" s="8"/>
      <c r="V265" s="8"/>
      <c r="W265" s="8"/>
      <c r="X265" s="8"/>
      <c r="Y265" s="8"/>
      <c r="Z265" s="8"/>
      <c r="AA265" s="8"/>
      <c r="AB265" s="8"/>
    </row>
    <row r="266" spans="1:28" ht="14.25" customHeight="1" x14ac:dyDescent="0.25">
      <c r="A266" s="47"/>
      <c r="B266" s="8"/>
      <c r="C266" s="8"/>
      <c r="D266" s="48"/>
      <c r="E266" s="48"/>
      <c r="F266" s="8"/>
      <c r="G266" s="8"/>
      <c r="H266" s="8"/>
      <c r="I266" s="8"/>
      <c r="J266" s="8"/>
      <c r="K266" s="48"/>
      <c r="L266" s="49"/>
      <c r="M266" s="8"/>
      <c r="N266" s="8"/>
      <c r="O266" s="8"/>
      <c r="P266" s="7"/>
      <c r="Q266" s="8"/>
      <c r="R266" s="8"/>
      <c r="S266" s="8"/>
      <c r="T266" s="8"/>
      <c r="U266" s="8"/>
      <c r="V266" s="8"/>
      <c r="W266" s="8"/>
      <c r="X266" s="8"/>
      <c r="Y266" s="8"/>
      <c r="Z266" s="8"/>
      <c r="AA266" s="8"/>
      <c r="AB266" s="8"/>
    </row>
    <row r="267" spans="1:28" ht="14.25" customHeight="1" x14ac:dyDescent="0.25">
      <c r="A267" s="47"/>
      <c r="B267" s="8"/>
      <c r="C267" s="8"/>
      <c r="D267" s="48"/>
      <c r="E267" s="48"/>
      <c r="F267" s="8"/>
      <c r="G267" s="8"/>
      <c r="H267" s="8"/>
      <c r="I267" s="8"/>
      <c r="J267" s="8"/>
      <c r="K267" s="48"/>
      <c r="L267" s="49"/>
      <c r="M267" s="8"/>
      <c r="N267" s="8"/>
      <c r="O267" s="8"/>
      <c r="P267" s="7"/>
      <c r="Q267" s="8"/>
      <c r="R267" s="8"/>
      <c r="S267" s="8"/>
      <c r="T267" s="8"/>
      <c r="U267" s="8"/>
      <c r="V267" s="8"/>
      <c r="W267" s="8"/>
      <c r="X267" s="8"/>
      <c r="Y267" s="8"/>
      <c r="Z267" s="8"/>
      <c r="AA267" s="8"/>
      <c r="AB267" s="8"/>
    </row>
    <row r="268" spans="1:28" ht="14.25" customHeight="1" x14ac:dyDescent="0.25">
      <c r="A268" s="47"/>
      <c r="B268" s="8"/>
      <c r="C268" s="8"/>
      <c r="D268" s="48"/>
      <c r="E268" s="48"/>
      <c r="F268" s="8"/>
      <c r="G268" s="8"/>
      <c r="H268" s="8"/>
      <c r="I268" s="8"/>
      <c r="J268" s="8"/>
      <c r="K268" s="48"/>
      <c r="L268" s="49"/>
      <c r="M268" s="8"/>
      <c r="N268" s="8"/>
      <c r="O268" s="8"/>
      <c r="P268" s="7"/>
      <c r="Q268" s="8"/>
      <c r="R268" s="8"/>
      <c r="S268" s="8"/>
      <c r="T268" s="8"/>
      <c r="U268" s="8"/>
      <c r="V268" s="8"/>
      <c r="W268" s="8"/>
      <c r="X268" s="8"/>
      <c r="Y268" s="8"/>
      <c r="Z268" s="8"/>
      <c r="AA268" s="8"/>
      <c r="AB268" s="8"/>
    </row>
    <row r="269" spans="1:28" ht="14.25" customHeight="1" x14ac:dyDescent="0.25">
      <c r="A269" s="47"/>
      <c r="B269" s="8"/>
      <c r="C269" s="8"/>
      <c r="D269" s="48"/>
      <c r="E269" s="48"/>
      <c r="F269" s="8"/>
      <c r="G269" s="8"/>
      <c r="H269" s="8"/>
      <c r="I269" s="8"/>
      <c r="J269" s="8"/>
      <c r="K269" s="48"/>
      <c r="L269" s="49"/>
      <c r="M269" s="8"/>
      <c r="N269" s="8"/>
      <c r="O269" s="8"/>
      <c r="P269" s="7"/>
      <c r="Q269" s="8"/>
      <c r="R269" s="8"/>
      <c r="S269" s="8"/>
      <c r="T269" s="8"/>
      <c r="U269" s="8"/>
      <c r="V269" s="8"/>
      <c r="W269" s="8"/>
      <c r="X269" s="8"/>
      <c r="Y269" s="8"/>
      <c r="Z269" s="8"/>
      <c r="AA269" s="8"/>
      <c r="AB269" s="8"/>
    </row>
    <row r="270" spans="1:28" ht="14.25" customHeight="1" x14ac:dyDescent="0.25">
      <c r="A270" s="47"/>
      <c r="B270" s="8"/>
      <c r="C270" s="8"/>
      <c r="D270" s="48"/>
      <c r="E270" s="48"/>
      <c r="F270" s="8"/>
      <c r="G270" s="8"/>
      <c r="H270" s="8"/>
      <c r="I270" s="8"/>
      <c r="J270" s="8"/>
      <c r="K270" s="48"/>
      <c r="L270" s="49"/>
      <c r="M270" s="8"/>
      <c r="N270" s="8"/>
      <c r="O270" s="8"/>
      <c r="P270" s="7"/>
      <c r="Q270" s="8"/>
      <c r="R270" s="8"/>
      <c r="S270" s="8"/>
      <c r="T270" s="8"/>
      <c r="U270" s="8"/>
      <c r="V270" s="8"/>
      <c r="W270" s="8"/>
      <c r="X270" s="8"/>
      <c r="Y270" s="8"/>
      <c r="Z270" s="8"/>
      <c r="AA270" s="8"/>
      <c r="AB270" s="8"/>
    </row>
    <row r="271" spans="1:28" ht="14.25" customHeight="1" x14ac:dyDescent="0.25">
      <c r="A271" s="47"/>
      <c r="B271" s="8"/>
      <c r="C271" s="8"/>
      <c r="D271" s="48"/>
      <c r="E271" s="48"/>
      <c r="F271" s="8"/>
      <c r="G271" s="8"/>
      <c r="H271" s="8"/>
      <c r="I271" s="8"/>
      <c r="J271" s="8"/>
      <c r="K271" s="48"/>
      <c r="L271" s="49"/>
      <c r="M271" s="8"/>
      <c r="N271" s="8"/>
      <c r="O271" s="8"/>
      <c r="P271" s="7"/>
      <c r="Q271" s="8"/>
      <c r="R271" s="8"/>
      <c r="S271" s="8"/>
      <c r="T271" s="8"/>
      <c r="U271" s="8"/>
      <c r="V271" s="8"/>
      <c r="W271" s="8"/>
      <c r="X271" s="8"/>
      <c r="Y271" s="8"/>
      <c r="Z271" s="8"/>
      <c r="AA271" s="8"/>
      <c r="AB271" s="8"/>
    </row>
    <row r="272" spans="1:28" ht="14.25" customHeight="1" x14ac:dyDescent="0.25">
      <c r="A272" s="47"/>
      <c r="B272" s="8"/>
      <c r="C272" s="8"/>
      <c r="D272" s="48"/>
      <c r="E272" s="48"/>
      <c r="F272" s="8"/>
      <c r="G272" s="8"/>
      <c r="H272" s="8"/>
      <c r="I272" s="8"/>
      <c r="J272" s="8"/>
      <c r="K272" s="48"/>
      <c r="L272" s="49"/>
      <c r="M272" s="8"/>
      <c r="N272" s="8"/>
      <c r="O272" s="8"/>
      <c r="P272" s="7"/>
      <c r="Q272" s="8"/>
      <c r="R272" s="8"/>
      <c r="S272" s="8"/>
      <c r="T272" s="8"/>
      <c r="U272" s="8"/>
      <c r="V272" s="8"/>
      <c r="W272" s="8"/>
      <c r="X272" s="8"/>
      <c r="Y272" s="8"/>
      <c r="Z272" s="8"/>
      <c r="AA272" s="8"/>
      <c r="AB272" s="8"/>
    </row>
    <row r="273" spans="1:28" ht="14.25" customHeight="1" x14ac:dyDescent="0.25">
      <c r="A273" s="47"/>
      <c r="B273" s="8"/>
      <c r="C273" s="8"/>
      <c r="D273" s="48"/>
      <c r="E273" s="48"/>
      <c r="F273" s="8"/>
      <c r="G273" s="8"/>
      <c r="H273" s="8"/>
      <c r="I273" s="8"/>
      <c r="J273" s="8"/>
      <c r="K273" s="48"/>
      <c r="L273" s="49"/>
      <c r="M273" s="8"/>
      <c r="N273" s="8"/>
      <c r="O273" s="8"/>
      <c r="P273" s="7"/>
      <c r="Q273" s="8"/>
      <c r="R273" s="8"/>
      <c r="S273" s="8"/>
      <c r="T273" s="8"/>
      <c r="U273" s="8"/>
      <c r="V273" s="8"/>
      <c r="W273" s="8"/>
      <c r="X273" s="8"/>
      <c r="Y273" s="8"/>
      <c r="Z273" s="8"/>
      <c r="AA273" s="8"/>
      <c r="AB273" s="8"/>
    </row>
    <row r="274" spans="1:28" ht="14.25" customHeight="1" x14ac:dyDescent="0.25">
      <c r="A274" s="47"/>
      <c r="B274" s="8"/>
      <c r="C274" s="8"/>
      <c r="D274" s="48"/>
      <c r="E274" s="48"/>
      <c r="F274" s="8"/>
      <c r="G274" s="8"/>
      <c r="H274" s="8"/>
      <c r="I274" s="8"/>
      <c r="J274" s="8"/>
      <c r="K274" s="48"/>
      <c r="L274" s="49"/>
      <c r="M274" s="8"/>
      <c r="N274" s="8"/>
      <c r="O274" s="8"/>
      <c r="P274" s="7"/>
      <c r="Q274" s="8"/>
      <c r="R274" s="8"/>
      <c r="S274" s="8"/>
      <c r="T274" s="8"/>
      <c r="U274" s="8"/>
      <c r="V274" s="8"/>
      <c r="W274" s="8"/>
      <c r="X274" s="8"/>
      <c r="Y274" s="8"/>
      <c r="Z274" s="8"/>
      <c r="AA274" s="8"/>
      <c r="AB274" s="8"/>
    </row>
    <row r="275" spans="1:28" ht="14.25" customHeight="1" x14ac:dyDescent="0.25">
      <c r="A275" s="47"/>
      <c r="B275" s="8"/>
      <c r="C275" s="8"/>
      <c r="D275" s="48"/>
      <c r="E275" s="48"/>
      <c r="F275" s="8"/>
      <c r="G275" s="8"/>
      <c r="H275" s="8"/>
      <c r="I275" s="8"/>
      <c r="J275" s="8"/>
      <c r="K275" s="48"/>
      <c r="L275" s="49"/>
      <c r="M275" s="8"/>
      <c r="N275" s="8"/>
      <c r="O275" s="8"/>
      <c r="P275" s="7"/>
      <c r="Q275" s="8"/>
      <c r="R275" s="8"/>
      <c r="S275" s="8"/>
      <c r="T275" s="8"/>
      <c r="U275" s="8"/>
      <c r="V275" s="8"/>
      <c r="W275" s="8"/>
      <c r="X275" s="8"/>
      <c r="Y275" s="8"/>
      <c r="Z275" s="8"/>
      <c r="AA275" s="8"/>
      <c r="AB275" s="8"/>
    </row>
    <row r="276" spans="1:28" ht="14.25" customHeight="1" x14ac:dyDescent="0.25">
      <c r="A276" s="47"/>
      <c r="B276" s="8"/>
      <c r="C276" s="8"/>
      <c r="D276" s="48"/>
      <c r="E276" s="48"/>
      <c r="F276" s="8"/>
      <c r="G276" s="8"/>
      <c r="H276" s="8"/>
      <c r="I276" s="8"/>
      <c r="J276" s="8"/>
      <c r="K276" s="48"/>
      <c r="L276" s="49"/>
      <c r="M276" s="8"/>
      <c r="N276" s="8"/>
      <c r="O276" s="8"/>
      <c r="P276" s="7"/>
      <c r="Q276" s="8"/>
      <c r="R276" s="8"/>
      <c r="S276" s="8"/>
      <c r="T276" s="8"/>
      <c r="U276" s="8"/>
      <c r="V276" s="8"/>
      <c r="W276" s="8"/>
      <c r="X276" s="8"/>
      <c r="Y276" s="8"/>
      <c r="Z276" s="8"/>
      <c r="AA276" s="8"/>
      <c r="AB276" s="8"/>
    </row>
    <row r="277" spans="1:28" ht="14.25" customHeight="1" x14ac:dyDescent="0.25">
      <c r="A277" s="47"/>
      <c r="B277" s="8"/>
      <c r="C277" s="8"/>
      <c r="D277" s="48"/>
      <c r="E277" s="48"/>
      <c r="F277" s="8"/>
      <c r="G277" s="8"/>
      <c r="H277" s="8"/>
      <c r="I277" s="8"/>
      <c r="J277" s="8"/>
      <c r="K277" s="48"/>
      <c r="L277" s="49"/>
      <c r="M277" s="8"/>
      <c r="N277" s="8"/>
      <c r="O277" s="8"/>
      <c r="P277" s="7"/>
      <c r="Q277" s="8"/>
      <c r="R277" s="8"/>
      <c r="S277" s="8"/>
      <c r="T277" s="8"/>
      <c r="U277" s="8"/>
      <c r="V277" s="8"/>
      <c r="W277" s="8"/>
      <c r="X277" s="8"/>
      <c r="Y277" s="8"/>
      <c r="Z277" s="8"/>
      <c r="AA277" s="8"/>
      <c r="AB277" s="8"/>
    </row>
    <row r="278" spans="1:28" ht="14.25" customHeight="1" x14ac:dyDescent="0.25">
      <c r="A278" s="47"/>
      <c r="B278" s="8"/>
      <c r="C278" s="8"/>
      <c r="D278" s="48"/>
      <c r="E278" s="48"/>
      <c r="F278" s="8"/>
      <c r="G278" s="8"/>
      <c r="H278" s="8"/>
      <c r="I278" s="8"/>
      <c r="J278" s="8"/>
      <c r="K278" s="48"/>
      <c r="L278" s="49"/>
      <c r="M278" s="8"/>
      <c r="N278" s="8"/>
      <c r="O278" s="8"/>
      <c r="P278" s="7"/>
      <c r="Q278" s="8"/>
      <c r="R278" s="8"/>
      <c r="S278" s="8"/>
      <c r="T278" s="8"/>
      <c r="U278" s="8"/>
      <c r="V278" s="8"/>
      <c r="W278" s="8"/>
      <c r="X278" s="8"/>
      <c r="Y278" s="8"/>
      <c r="Z278" s="8"/>
      <c r="AA278" s="8"/>
      <c r="AB278" s="8"/>
    </row>
    <row r="279" spans="1:28" ht="14.25" customHeight="1" x14ac:dyDescent="0.25">
      <c r="A279" s="47"/>
      <c r="B279" s="8"/>
      <c r="C279" s="8"/>
      <c r="D279" s="48"/>
      <c r="E279" s="48"/>
      <c r="F279" s="8"/>
      <c r="G279" s="8"/>
      <c r="H279" s="8"/>
      <c r="I279" s="8"/>
      <c r="J279" s="8"/>
      <c r="K279" s="48"/>
      <c r="L279" s="49"/>
      <c r="M279" s="8"/>
      <c r="N279" s="8"/>
      <c r="O279" s="8"/>
      <c r="P279" s="7"/>
      <c r="Q279" s="8"/>
      <c r="R279" s="8"/>
      <c r="S279" s="8"/>
      <c r="T279" s="8"/>
      <c r="U279" s="8"/>
      <c r="V279" s="8"/>
      <c r="W279" s="8"/>
      <c r="X279" s="8"/>
      <c r="Y279" s="8"/>
      <c r="Z279" s="8"/>
      <c r="AA279" s="8"/>
      <c r="AB279" s="8"/>
    </row>
    <row r="280" spans="1:28" ht="14.25" customHeight="1" x14ac:dyDescent="0.25">
      <c r="A280" s="47"/>
      <c r="B280" s="8"/>
      <c r="C280" s="8"/>
      <c r="D280" s="48"/>
      <c r="E280" s="48"/>
      <c r="F280" s="8"/>
      <c r="G280" s="8"/>
      <c r="H280" s="8"/>
      <c r="I280" s="8"/>
      <c r="J280" s="8"/>
      <c r="K280" s="48"/>
      <c r="L280" s="49"/>
      <c r="M280" s="8"/>
      <c r="N280" s="8"/>
      <c r="O280" s="8"/>
      <c r="P280" s="7"/>
      <c r="Q280" s="8"/>
      <c r="R280" s="8"/>
      <c r="S280" s="8"/>
      <c r="T280" s="8"/>
      <c r="U280" s="8"/>
      <c r="V280" s="8"/>
      <c r="W280" s="8"/>
      <c r="X280" s="8"/>
      <c r="Y280" s="8"/>
      <c r="Z280" s="8"/>
      <c r="AA280" s="8"/>
      <c r="AB280" s="8"/>
    </row>
    <row r="281" spans="1:28" ht="14.25" customHeight="1" x14ac:dyDescent="0.25">
      <c r="A281" s="47"/>
      <c r="B281" s="8"/>
      <c r="C281" s="8"/>
      <c r="D281" s="48"/>
      <c r="E281" s="48"/>
      <c r="F281" s="8"/>
      <c r="G281" s="8"/>
      <c r="H281" s="8"/>
      <c r="I281" s="8"/>
      <c r="J281" s="8"/>
      <c r="K281" s="48"/>
      <c r="L281" s="49"/>
      <c r="M281" s="8"/>
      <c r="N281" s="8"/>
      <c r="O281" s="8"/>
      <c r="P281" s="7"/>
      <c r="Q281" s="8"/>
      <c r="R281" s="8"/>
      <c r="S281" s="8"/>
      <c r="T281" s="8"/>
      <c r="U281" s="8"/>
      <c r="V281" s="8"/>
      <c r="W281" s="8"/>
      <c r="X281" s="8"/>
      <c r="Y281" s="8"/>
      <c r="Z281" s="8"/>
      <c r="AA281" s="8"/>
      <c r="AB281" s="8"/>
    </row>
    <row r="282" spans="1:28" ht="14.25" customHeight="1" x14ac:dyDescent="0.25">
      <c r="A282" s="47"/>
      <c r="B282" s="8"/>
      <c r="C282" s="8"/>
      <c r="D282" s="48"/>
      <c r="E282" s="48"/>
      <c r="F282" s="8"/>
      <c r="G282" s="8"/>
      <c r="H282" s="8"/>
      <c r="I282" s="8"/>
      <c r="J282" s="8"/>
      <c r="K282" s="48"/>
      <c r="L282" s="49"/>
      <c r="M282" s="8"/>
      <c r="N282" s="8"/>
      <c r="O282" s="8"/>
      <c r="P282" s="7"/>
      <c r="Q282" s="8"/>
      <c r="R282" s="8"/>
      <c r="S282" s="8"/>
      <c r="T282" s="8"/>
      <c r="U282" s="8"/>
      <c r="V282" s="8"/>
      <c r="W282" s="8"/>
      <c r="X282" s="8"/>
      <c r="Y282" s="8"/>
      <c r="Z282" s="8"/>
      <c r="AA282" s="8"/>
      <c r="AB282" s="8"/>
    </row>
    <row r="283" spans="1:28" ht="14.25" customHeight="1" x14ac:dyDescent="0.25">
      <c r="A283" s="47"/>
      <c r="B283" s="8"/>
      <c r="C283" s="8"/>
      <c r="D283" s="48"/>
      <c r="E283" s="48"/>
      <c r="F283" s="8"/>
      <c r="G283" s="8"/>
      <c r="H283" s="8"/>
      <c r="I283" s="8"/>
      <c r="J283" s="8"/>
      <c r="K283" s="48"/>
      <c r="L283" s="49"/>
      <c r="M283" s="8"/>
      <c r="N283" s="8"/>
      <c r="O283" s="8"/>
      <c r="P283" s="7"/>
      <c r="Q283" s="8"/>
      <c r="R283" s="8"/>
      <c r="S283" s="8"/>
      <c r="T283" s="8"/>
      <c r="U283" s="8"/>
      <c r="V283" s="8"/>
      <c r="W283" s="8"/>
      <c r="X283" s="8"/>
      <c r="Y283" s="8"/>
      <c r="Z283" s="8"/>
      <c r="AA283" s="8"/>
      <c r="AB283" s="8"/>
    </row>
    <row r="284" spans="1:28" ht="14.25" customHeight="1" x14ac:dyDescent="0.25">
      <c r="A284" s="47"/>
      <c r="B284" s="8"/>
      <c r="C284" s="8"/>
      <c r="D284" s="48"/>
      <c r="E284" s="48"/>
      <c r="F284" s="8"/>
      <c r="G284" s="8"/>
      <c r="H284" s="8"/>
      <c r="I284" s="8"/>
      <c r="J284" s="8"/>
      <c r="K284" s="48"/>
      <c r="L284" s="49"/>
      <c r="M284" s="8"/>
      <c r="N284" s="8"/>
      <c r="O284" s="8"/>
      <c r="P284" s="7"/>
      <c r="Q284" s="8"/>
      <c r="R284" s="8"/>
      <c r="S284" s="8"/>
      <c r="T284" s="8"/>
      <c r="U284" s="8"/>
      <c r="V284" s="8"/>
      <c r="W284" s="8"/>
      <c r="X284" s="8"/>
      <c r="Y284" s="8"/>
      <c r="Z284" s="8"/>
      <c r="AA284" s="8"/>
      <c r="AB284" s="8"/>
    </row>
    <row r="285" spans="1:28" ht="14.25" customHeight="1" x14ac:dyDescent="0.25">
      <c r="A285" s="47"/>
      <c r="B285" s="8"/>
      <c r="C285" s="8"/>
      <c r="D285" s="48"/>
      <c r="E285" s="48"/>
      <c r="F285" s="8"/>
      <c r="G285" s="8"/>
      <c r="H285" s="8"/>
      <c r="I285" s="8"/>
      <c r="J285" s="8"/>
      <c r="K285" s="48"/>
      <c r="L285" s="49"/>
      <c r="M285" s="8"/>
      <c r="N285" s="8"/>
      <c r="O285" s="8"/>
      <c r="P285" s="7"/>
      <c r="Q285" s="8"/>
      <c r="R285" s="8"/>
      <c r="S285" s="8"/>
      <c r="T285" s="8"/>
      <c r="U285" s="8"/>
      <c r="V285" s="8"/>
      <c r="W285" s="8"/>
      <c r="X285" s="8"/>
      <c r="Y285" s="8"/>
      <c r="Z285" s="8"/>
      <c r="AA285" s="8"/>
      <c r="AB285" s="8"/>
    </row>
    <row r="286" spans="1:28" ht="14.25" customHeight="1" x14ac:dyDescent="0.25">
      <c r="A286" s="47"/>
      <c r="B286" s="8"/>
      <c r="C286" s="8"/>
      <c r="D286" s="48"/>
      <c r="E286" s="48"/>
      <c r="F286" s="8"/>
      <c r="G286" s="8"/>
      <c r="H286" s="8"/>
      <c r="I286" s="8"/>
      <c r="J286" s="8"/>
      <c r="K286" s="48"/>
      <c r="L286" s="49"/>
      <c r="M286" s="8"/>
      <c r="N286" s="8"/>
      <c r="O286" s="8"/>
      <c r="P286" s="7"/>
      <c r="Q286" s="8"/>
      <c r="R286" s="8"/>
      <c r="S286" s="8"/>
      <c r="T286" s="8"/>
      <c r="U286" s="8"/>
      <c r="V286" s="8"/>
      <c r="W286" s="8"/>
      <c r="X286" s="8"/>
      <c r="Y286" s="8"/>
      <c r="Z286" s="8"/>
      <c r="AA286" s="8"/>
      <c r="AB286" s="8"/>
    </row>
    <row r="287" spans="1:28" ht="14.25" customHeight="1" x14ac:dyDescent="0.25">
      <c r="A287" s="47"/>
      <c r="B287" s="8"/>
      <c r="C287" s="8"/>
      <c r="D287" s="48"/>
      <c r="E287" s="48"/>
      <c r="F287" s="8"/>
      <c r="G287" s="8"/>
      <c r="H287" s="8"/>
      <c r="I287" s="8"/>
      <c r="J287" s="8"/>
      <c r="K287" s="48"/>
      <c r="L287" s="49"/>
      <c r="M287" s="8"/>
      <c r="N287" s="8"/>
      <c r="O287" s="8"/>
      <c r="P287" s="7"/>
      <c r="Q287" s="8"/>
      <c r="R287" s="8"/>
      <c r="S287" s="8"/>
      <c r="T287" s="8"/>
      <c r="U287" s="8"/>
      <c r="V287" s="8"/>
      <c r="W287" s="8"/>
      <c r="X287" s="8"/>
      <c r="Y287" s="8"/>
      <c r="Z287" s="8"/>
      <c r="AA287" s="8"/>
      <c r="AB287" s="8"/>
    </row>
    <row r="288" spans="1:28" ht="14.25" customHeight="1" x14ac:dyDescent="0.25">
      <c r="A288" s="47"/>
      <c r="B288" s="8"/>
      <c r="C288" s="8"/>
      <c r="D288" s="48"/>
      <c r="E288" s="48"/>
      <c r="F288" s="8"/>
      <c r="G288" s="8"/>
      <c r="H288" s="8"/>
      <c r="I288" s="8"/>
      <c r="J288" s="8"/>
      <c r="K288" s="48"/>
      <c r="L288" s="49"/>
      <c r="M288" s="8"/>
      <c r="N288" s="8"/>
      <c r="O288" s="8"/>
      <c r="P288" s="7"/>
      <c r="Q288" s="8"/>
      <c r="R288" s="8"/>
      <c r="S288" s="8"/>
      <c r="T288" s="8"/>
      <c r="U288" s="8"/>
      <c r="V288" s="8"/>
      <c r="W288" s="8"/>
      <c r="X288" s="8"/>
      <c r="Y288" s="8"/>
      <c r="Z288" s="8"/>
      <c r="AA288" s="8"/>
      <c r="AB288" s="8"/>
    </row>
    <row r="289" spans="1:28" ht="14.25" customHeight="1" x14ac:dyDescent="0.25">
      <c r="A289" s="47"/>
      <c r="B289" s="8"/>
      <c r="C289" s="8"/>
      <c r="D289" s="48"/>
      <c r="E289" s="48"/>
      <c r="F289" s="8"/>
      <c r="G289" s="8"/>
      <c r="H289" s="8"/>
      <c r="I289" s="8"/>
      <c r="J289" s="8"/>
      <c r="K289" s="48"/>
      <c r="L289" s="49"/>
      <c r="M289" s="8"/>
      <c r="N289" s="8"/>
      <c r="O289" s="8"/>
      <c r="P289" s="7"/>
      <c r="Q289" s="8"/>
      <c r="R289" s="8"/>
      <c r="S289" s="8"/>
      <c r="T289" s="8"/>
      <c r="U289" s="8"/>
      <c r="V289" s="8"/>
      <c r="W289" s="8"/>
      <c r="X289" s="8"/>
      <c r="Y289" s="8"/>
      <c r="Z289" s="8"/>
      <c r="AA289" s="8"/>
      <c r="AB289" s="8"/>
    </row>
    <row r="290" spans="1:28" ht="14.25" customHeight="1" x14ac:dyDescent="0.25">
      <c r="A290" s="47"/>
      <c r="B290" s="8"/>
      <c r="C290" s="8"/>
      <c r="D290" s="48"/>
      <c r="E290" s="48"/>
      <c r="F290" s="8"/>
      <c r="G290" s="8"/>
      <c r="H290" s="8"/>
      <c r="I290" s="8"/>
      <c r="J290" s="8"/>
      <c r="K290" s="48"/>
      <c r="L290" s="49"/>
      <c r="M290" s="8"/>
      <c r="N290" s="8"/>
      <c r="O290" s="8"/>
      <c r="P290" s="7"/>
      <c r="Q290" s="8"/>
      <c r="R290" s="8"/>
      <c r="S290" s="8"/>
      <c r="T290" s="8"/>
      <c r="U290" s="8"/>
      <c r="V290" s="8"/>
      <c r="W290" s="8"/>
      <c r="X290" s="8"/>
      <c r="Y290" s="8"/>
      <c r="Z290" s="8"/>
      <c r="AA290" s="8"/>
      <c r="AB290" s="8"/>
    </row>
    <row r="291" spans="1:28" ht="14.25" customHeight="1" x14ac:dyDescent="0.25">
      <c r="A291" s="47"/>
      <c r="B291" s="8"/>
      <c r="C291" s="8"/>
      <c r="D291" s="48"/>
      <c r="E291" s="48"/>
      <c r="F291" s="8"/>
      <c r="G291" s="8"/>
      <c r="H291" s="8"/>
      <c r="I291" s="8"/>
      <c r="J291" s="8"/>
      <c r="K291" s="48"/>
      <c r="L291" s="49"/>
      <c r="M291" s="8"/>
      <c r="N291" s="8"/>
      <c r="O291" s="8"/>
      <c r="P291" s="7"/>
      <c r="Q291" s="8"/>
      <c r="R291" s="8"/>
      <c r="S291" s="8"/>
      <c r="T291" s="8"/>
      <c r="U291" s="8"/>
      <c r="V291" s="8"/>
      <c r="W291" s="8"/>
      <c r="X291" s="8"/>
      <c r="Y291" s="8"/>
      <c r="Z291" s="8"/>
      <c r="AA291" s="8"/>
      <c r="AB291" s="8"/>
    </row>
    <row r="292" spans="1:28" ht="14.25" customHeight="1" x14ac:dyDescent="0.25">
      <c r="A292" s="47"/>
      <c r="B292" s="8"/>
      <c r="C292" s="8"/>
      <c r="D292" s="48"/>
      <c r="E292" s="48"/>
      <c r="F292" s="8"/>
      <c r="G292" s="8"/>
      <c r="H292" s="8"/>
      <c r="I292" s="8"/>
      <c r="J292" s="8"/>
      <c r="K292" s="48"/>
      <c r="L292" s="49"/>
      <c r="M292" s="8"/>
      <c r="N292" s="8"/>
      <c r="O292" s="8"/>
      <c r="P292" s="7"/>
      <c r="Q292" s="8"/>
      <c r="R292" s="8"/>
      <c r="S292" s="8"/>
      <c r="T292" s="8"/>
      <c r="U292" s="8"/>
      <c r="V292" s="8"/>
      <c r="W292" s="8"/>
      <c r="X292" s="8"/>
      <c r="Y292" s="8"/>
      <c r="Z292" s="8"/>
      <c r="AA292" s="8"/>
      <c r="AB292" s="8"/>
    </row>
    <row r="293" spans="1:28" ht="14.25" customHeight="1" x14ac:dyDescent="0.25">
      <c r="A293" s="47"/>
      <c r="B293" s="8"/>
      <c r="C293" s="8"/>
      <c r="D293" s="48"/>
      <c r="E293" s="48"/>
      <c r="F293" s="8"/>
      <c r="G293" s="8"/>
      <c r="H293" s="8"/>
      <c r="I293" s="8"/>
      <c r="J293" s="8"/>
      <c r="K293" s="48"/>
      <c r="L293" s="49"/>
      <c r="M293" s="8"/>
      <c r="N293" s="8"/>
      <c r="O293" s="8"/>
      <c r="P293" s="7"/>
      <c r="Q293" s="8"/>
      <c r="R293" s="8"/>
      <c r="S293" s="8"/>
      <c r="T293" s="8"/>
      <c r="U293" s="8"/>
      <c r="V293" s="8"/>
      <c r="W293" s="8"/>
      <c r="X293" s="8"/>
      <c r="Y293" s="8"/>
      <c r="Z293" s="8"/>
      <c r="AA293" s="8"/>
      <c r="AB293" s="8"/>
    </row>
    <row r="294" spans="1:28" ht="14.25" customHeight="1" x14ac:dyDescent="0.25">
      <c r="A294" s="47"/>
      <c r="B294" s="8"/>
      <c r="C294" s="8"/>
      <c r="D294" s="48"/>
      <c r="E294" s="48"/>
      <c r="F294" s="8"/>
      <c r="G294" s="8"/>
      <c r="H294" s="8"/>
      <c r="I294" s="8"/>
      <c r="J294" s="8"/>
      <c r="K294" s="48"/>
      <c r="L294" s="49"/>
      <c r="M294" s="8"/>
      <c r="N294" s="8"/>
      <c r="O294" s="8"/>
      <c r="P294" s="7"/>
      <c r="Q294" s="8"/>
      <c r="R294" s="8"/>
      <c r="S294" s="8"/>
      <c r="T294" s="8"/>
      <c r="U294" s="8"/>
      <c r="V294" s="8"/>
      <c r="W294" s="8"/>
      <c r="X294" s="8"/>
      <c r="Y294" s="8"/>
      <c r="Z294" s="8"/>
      <c r="AA294" s="8"/>
      <c r="AB294" s="8"/>
    </row>
    <row r="295" spans="1:28" ht="14.25" customHeight="1" x14ac:dyDescent="0.25">
      <c r="A295" s="47"/>
      <c r="B295" s="8"/>
      <c r="C295" s="8"/>
      <c r="D295" s="48"/>
      <c r="E295" s="48"/>
      <c r="F295" s="8"/>
      <c r="G295" s="8"/>
      <c r="H295" s="8"/>
      <c r="I295" s="8"/>
      <c r="J295" s="8"/>
      <c r="K295" s="48"/>
      <c r="L295" s="49"/>
      <c r="M295" s="8"/>
      <c r="N295" s="8"/>
      <c r="O295" s="8"/>
      <c r="P295" s="7"/>
      <c r="Q295" s="8"/>
      <c r="R295" s="8"/>
      <c r="S295" s="8"/>
      <c r="T295" s="8"/>
      <c r="U295" s="8"/>
      <c r="V295" s="8"/>
      <c r="W295" s="8"/>
      <c r="X295" s="8"/>
      <c r="Y295" s="8"/>
      <c r="Z295" s="8"/>
      <c r="AA295" s="8"/>
      <c r="AB295" s="8"/>
    </row>
    <row r="296" spans="1:28" ht="14.25" customHeight="1" x14ac:dyDescent="0.25">
      <c r="A296" s="47"/>
      <c r="B296" s="8"/>
      <c r="C296" s="8"/>
      <c r="D296" s="48"/>
      <c r="E296" s="48"/>
      <c r="F296" s="8"/>
      <c r="G296" s="8"/>
      <c r="H296" s="8"/>
      <c r="I296" s="8"/>
      <c r="J296" s="8"/>
      <c r="K296" s="48"/>
      <c r="L296" s="49"/>
      <c r="M296" s="8"/>
      <c r="N296" s="8"/>
      <c r="O296" s="8"/>
      <c r="P296" s="7"/>
      <c r="Q296" s="8"/>
      <c r="R296" s="8"/>
      <c r="S296" s="8"/>
      <c r="T296" s="8"/>
      <c r="U296" s="8"/>
      <c r="V296" s="8"/>
      <c r="W296" s="8"/>
      <c r="X296" s="8"/>
      <c r="Y296" s="8"/>
      <c r="Z296" s="8"/>
      <c r="AA296" s="8"/>
      <c r="AB296" s="8"/>
    </row>
    <row r="297" spans="1:28" ht="14.25" customHeight="1" x14ac:dyDescent="0.25">
      <c r="A297" s="47"/>
      <c r="B297" s="8"/>
      <c r="C297" s="8"/>
      <c r="D297" s="48"/>
      <c r="E297" s="48"/>
      <c r="F297" s="8"/>
      <c r="G297" s="8"/>
      <c r="H297" s="8"/>
      <c r="I297" s="8"/>
      <c r="J297" s="8"/>
      <c r="K297" s="48"/>
      <c r="L297" s="49"/>
      <c r="M297" s="8"/>
      <c r="N297" s="8"/>
      <c r="O297" s="8"/>
      <c r="P297" s="7"/>
      <c r="Q297" s="8"/>
      <c r="R297" s="8"/>
      <c r="S297" s="8"/>
      <c r="T297" s="8"/>
      <c r="U297" s="8"/>
      <c r="V297" s="8"/>
      <c r="W297" s="8"/>
      <c r="X297" s="8"/>
      <c r="Y297" s="8"/>
      <c r="Z297" s="8"/>
      <c r="AA297" s="8"/>
      <c r="AB297" s="8"/>
    </row>
    <row r="298" spans="1:28" ht="14.25" customHeight="1" x14ac:dyDescent="0.25">
      <c r="A298" s="47"/>
      <c r="B298" s="8"/>
      <c r="C298" s="8"/>
      <c r="D298" s="48"/>
      <c r="E298" s="48"/>
      <c r="F298" s="8"/>
      <c r="G298" s="8"/>
      <c r="H298" s="8"/>
      <c r="I298" s="8"/>
      <c r="J298" s="8"/>
      <c r="K298" s="48"/>
      <c r="L298" s="49"/>
      <c r="M298" s="8"/>
      <c r="N298" s="8"/>
      <c r="O298" s="8"/>
      <c r="P298" s="7"/>
      <c r="Q298" s="8"/>
      <c r="R298" s="8"/>
      <c r="S298" s="8"/>
      <c r="T298" s="8"/>
      <c r="U298" s="8"/>
      <c r="V298" s="8"/>
      <c r="W298" s="8"/>
      <c r="X298" s="8"/>
      <c r="Y298" s="8"/>
      <c r="Z298" s="8"/>
      <c r="AA298" s="8"/>
      <c r="AB298" s="8"/>
    </row>
    <row r="299" spans="1:28" ht="14.25" customHeight="1" x14ac:dyDescent="0.25">
      <c r="A299" s="47"/>
      <c r="B299" s="8"/>
      <c r="C299" s="8"/>
      <c r="D299" s="48"/>
      <c r="E299" s="48"/>
      <c r="F299" s="8"/>
      <c r="G299" s="8"/>
      <c r="H299" s="8"/>
      <c r="I299" s="8"/>
      <c r="J299" s="8"/>
      <c r="K299" s="48"/>
      <c r="L299" s="49"/>
      <c r="M299" s="8"/>
      <c r="N299" s="8"/>
      <c r="O299" s="8"/>
      <c r="P299" s="7"/>
      <c r="Q299" s="8"/>
      <c r="R299" s="8"/>
      <c r="S299" s="8"/>
      <c r="T299" s="8"/>
      <c r="U299" s="8"/>
      <c r="V299" s="8"/>
      <c r="W299" s="8"/>
      <c r="X299" s="8"/>
      <c r="Y299" s="8"/>
      <c r="Z299" s="8"/>
      <c r="AA299" s="8"/>
      <c r="AB299" s="8"/>
    </row>
    <row r="300" spans="1:28" ht="14.25" customHeight="1" x14ac:dyDescent="0.25">
      <c r="A300" s="47"/>
      <c r="B300" s="8"/>
      <c r="C300" s="8"/>
      <c r="D300" s="48"/>
      <c r="E300" s="48"/>
      <c r="F300" s="8"/>
      <c r="G300" s="8"/>
      <c r="H300" s="8"/>
      <c r="I300" s="8"/>
      <c r="J300" s="8"/>
      <c r="K300" s="48"/>
      <c r="L300" s="49"/>
      <c r="M300" s="8"/>
      <c r="N300" s="8"/>
      <c r="O300" s="8"/>
      <c r="P300" s="7"/>
      <c r="Q300" s="8"/>
      <c r="R300" s="8"/>
      <c r="S300" s="8"/>
      <c r="T300" s="8"/>
      <c r="U300" s="8"/>
      <c r="V300" s="8"/>
      <c r="W300" s="8"/>
      <c r="X300" s="8"/>
      <c r="Y300" s="8"/>
      <c r="Z300" s="8"/>
      <c r="AA300" s="8"/>
      <c r="AB300" s="8"/>
    </row>
    <row r="301" spans="1:28" ht="14.25" customHeight="1" x14ac:dyDescent="0.25">
      <c r="A301" s="47"/>
      <c r="B301" s="8"/>
      <c r="C301" s="8"/>
      <c r="D301" s="48"/>
      <c r="E301" s="48"/>
      <c r="F301" s="8"/>
      <c r="G301" s="8"/>
      <c r="H301" s="8"/>
      <c r="I301" s="8"/>
      <c r="J301" s="8"/>
      <c r="K301" s="48"/>
      <c r="L301" s="49"/>
      <c r="M301" s="8"/>
      <c r="N301" s="8"/>
      <c r="O301" s="8"/>
      <c r="P301" s="7"/>
      <c r="Q301" s="8"/>
      <c r="R301" s="8"/>
      <c r="S301" s="8"/>
      <c r="T301" s="8"/>
      <c r="U301" s="8"/>
      <c r="V301" s="8"/>
      <c r="W301" s="8"/>
      <c r="X301" s="8"/>
      <c r="Y301" s="8"/>
      <c r="Z301" s="8"/>
      <c r="AA301" s="8"/>
      <c r="AB301" s="8"/>
    </row>
    <row r="302" spans="1:28" ht="14.25" customHeight="1" x14ac:dyDescent="0.25">
      <c r="A302" s="47"/>
      <c r="B302" s="8"/>
      <c r="C302" s="8"/>
      <c r="D302" s="48"/>
      <c r="E302" s="48"/>
      <c r="F302" s="8"/>
      <c r="G302" s="8"/>
      <c r="H302" s="8"/>
      <c r="I302" s="8"/>
      <c r="J302" s="8"/>
      <c r="K302" s="48"/>
      <c r="L302" s="49"/>
      <c r="M302" s="8"/>
      <c r="N302" s="8"/>
      <c r="O302" s="8"/>
      <c r="P302" s="7"/>
      <c r="Q302" s="8"/>
      <c r="R302" s="8"/>
      <c r="S302" s="8"/>
      <c r="T302" s="8"/>
      <c r="U302" s="8"/>
      <c r="V302" s="8"/>
      <c r="W302" s="8"/>
      <c r="X302" s="8"/>
      <c r="Y302" s="8"/>
      <c r="Z302" s="8"/>
      <c r="AA302" s="8"/>
      <c r="AB302" s="8"/>
    </row>
    <row r="303" spans="1:28" ht="14.25" customHeight="1" x14ac:dyDescent="0.25">
      <c r="A303" s="47"/>
      <c r="B303" s="8"/>
      <c r="C303" s="8"/>
      <c r="D303" s="48"/>
      <c r="E303" s="48"/>
      <c r="F303" s="8"/>
      <c r="G303" s="8"/>
      <c r="H303" s="8"/>
      <c r="I303" s="8"/>
      <c r="J303" s="8"/>
      <c r="K303" s="48"/>
      <c r="L303" s="49"/>
      <c r="M303" s="8"/>
      <c r="N303" s="8"/>
      <c r="O303" s="8"/>
      <c r="P303" s="7"/>
      <c r="Q303" s="8"/>
      <c r="R303" s="8"/>
      <c r="S303" s="8"/>
      <c r="T303" s="8"/>
      <c r="U303" s="8"/>
      <c r="V303" s="8"/>
      <c r="W303" s="8"/>
      <c r="X303" s="8"/>
      <c r="Y303" s="8"/>
      <c r="Z303" s="8"/>
      <c r="AA303" s="8"/>
      <c r="AB303" s="8"/>
    </row>
    <row r="304" spans="1:28" ht="14.25" customHeight="1" x14ac:dyDescent="0.25">
      <c r="A304" s="47"/>
      <c r="B304" s="8"/>
      <c r="C304" s="8"/>
      <c r="D304" s="48"/>
      <c r="E304" s="48"/>
      <c r="F304" s="8"/>
      <c r="G304" s="8"/>
      <c r="H304" s="8"/>
      <c r="I304" s="8"/>
      <c r="J304" s="8"/>
      <c r="K304" s="48"/>
      <c r="L304" s="49"/>
      <c r="M304" s="8"/>
      <c r="N304" s="8"/>
      <c r="O304" s="8"/>
      <c r="P304" s="7"/>
      <c r="Q304" s="8"/>
      <c r="R304" s="8"/>
      <c r="S304" s="8"/>
      <c r="T304" s="8"/>
      <c r="U304" s="8"/>
      <c r="V304" s="8"/>
      <c r="W304" s="8"/>
      <c r="X304" s="8"/>
      <c r="Y304" s="8"/>
      <c r="Z304" s="8"/>
      <c r="AA304" s="8"/>
      <c r="AB304" s="8"/>
    </row>
    <row r="305" spans="1:28" ht="14.25" customHeight="1" x14ac:dyDescent="0.25">
      <c r="A305" s="47"/>
      <c r="B305" s="8"/>
      <c r="C305" s="8"/>
      <c r="D305" s="48"/>
      <c r="E305" s="48"/>
      <c r="F305" s="8"/>
      <c r="G305" s="8"/>
      <c r="H305" s="8"/>
      <c r="I305" s="8"/>
      <c r="J305" s="8"/>
      <c r="K305" s="48"/>
      <c r="L305" s="49"/>
      <c r="M305" s="8"/>
      <c r="N305" s="8"/>
      <c r="O305" s="8"/>
      <c r="P305" s="7"/>
      <c r="Q305" s="8"/>
      <c r="R305" s="8"/>
      <c r="S305" s="8"/>
      <c r="T305" s="8"/>
      <c r="U305" s="8"/>
      <c r="V305" s="8"/>
      <c r="W305" s="8"/>
      <c r="X305" s="8"/>
      <c r="Y305" s="8"/>
      <c r="Z305" s="8"/>
      <c r="AA305" s="8"/>
      <c r="AB305" s="8"/>
    </row>
    <row r="306" spans="1:28" ht="14.25" customHeight="1" x14ac:dyDescent="0.25">
      <c r="A306" s="47"/>
      <c r="B306" s="8"/>
      <c r="C306" s="8"/>
      <c r="D306" s="48"/>
      <c r="E306" s="48"/>
      <c r="F306" s="8"/>
      <c r="G306" s="8"/>
      <c r="H306" s="8"/>
      <c r="I306" s="8"/>
      <c r="J306" s="8"/>
      <c r="K306" s="48"/>
      <c r="L306" s="49"/>
      <c r="M306" s="8"/>
      <c r="N306" s="8"/>
      <c r="O306" s="8"/>
      <c r="P306" s="7"/>
      <c r="Q306" s="8"/>
      <c r="R306" s="8"/>
      <c r="S306" s="8"/>
      <c r="T306" s="8"/>
      <c r="U306" s="8"/>
      <c r="V306" s="8"/>
      <c r="W306" s="8"/>
      <c r="X306" s="8"/>
      <c r="Y306" s="8"/>
      <c r="Z306" s="8"/>
      <c r="AA306" s="8"/>
      <c r="AB306" s="8"/>
    </row>
    <row r="307" spans="1:28" ht="14.25" customHeight="1" x14ac:dyDescent="0.25">
      <c r="A307" s="47"/>
      <c r="B307" s="8"/>
      <c r="C307" s="8"/>
      <c r="D307" s="48"/>
      <c r="E307" s="48"/>
      <c r="F307" s="8"/>
      <c r="G307" s="8"/>
      <c r="H307" s="8"/>
      <c r="I307" s="8"/>
      <c r="J307" s="8"/>
      <c r="K307" s="48"/>
      <c r="L307" s="49"/>
      <c r="M307" s="8"/>
      <c r="N307" s="8"/>
      <c r="O307" s="8"/>
      <c r="P307" s="7"/>
      <c r="Q307" s="8"/>
      <c r="R307" s="8"/>
      <c r="S307" s="8"/>
      <c r="T307" s="8"/>
      <c r="U307" s="8"/>
      <c r="V307" s="8"/>
      <c r="W307" s="8"/>
      <c r="X307" s="8"/>
      <c r="Y307" s="8"/>
      <c r="Z307" s="8"/>
      <c r="AA307" s="8"/>
      <c r="AB307" s="8"/>
    </row>
    <row r="308" spans="1:28" ht="14.25" customHeight="1" x14ac:dyDescent="0.25">
      <c r="A308" s="47"/>
      <c r="B308" s="8"/>
      <c r="C308" s="8"/>
      <c r="D308" s="48"/>
      <c r="E308" s="48"/>
      <c r="F308" s="8"/>
      <c r="G308" s="8"/>
      <c r="H308" s="8"/>
      <c r="I308" s="8"/>
      <c r="J308" s="8"/>
      <c r="K308" s="48"/>
      <c r="L308" s="49"/>
      <c r="M308" s="8"/>
      <c r="N308" s="8"/>
      <c r="O308" s="8"/>
      <c r="P308" s="7"/>
      <c r="Q308" s="8"/>
      <c r="R308" s="8"/>
      <c r="S308" s="8"/>
      <c r="T308" s="8"/>
      <c r="U308" s="8"/>
      <c r="V308" s="8"/>
      <c r="W308" s="8"/>
      <c r="X308" s="8"/>
      <c r="Y308" s="8"/>
      <c r="Z308" s="8"/>
      <c r="AA308" s="8"/>
      <c r="AB308" s="8"/>
    </row>
    <row r="309" spans="1:28" ht="14.25" customHeight="1" x14ac:dyDescent="0.25">
      <c r="A309" s="47"/>
      <c r="B309" s="8"/>
      <c r="C309" s="8"/>
      <c r="D309" s="48"/>
      <c r="E309" s="48"/>
      <c r="F309" s="8"/>
      <c r="G309" s="8"/>
      <c r="H309" s="8"/>
      <c r="I309" s="8"/>
      <c r="J309" s="8"/>
      <c r="K309" s="48"/>
      <c r="L309" s="49"/>
      <c r="M309" s="8"/>
      <c r="N309" s="8"/>
      <c r="O309" s="8"/>
      <c r="P309" s="7"/>
      <c r="Q309" s="8"/>
      <c r="R309" s="8"/>
      <c r="S309" s="8"/>
      <c r="T309" s="8"/>
      <c r="U309" s="8"/>
      <c r="V309" s="8"/>
      <c r="W309" s="8"/>
      <c r="X309" s="8"/>
      <c r="Y309" s="8"/>
      <c r="Z309" s="8"/>
      <c r="AA309" s="8"/>
      <c r="AB309" s="8"/>
    </row>
    <row r="310" spans="1:28" ht="14.25" customHeight="1" x14ac:dyDescent="0.25">
      <c r="A310" s="47"/>
      <c r="B310" s="8"/>
      <c r="C310" s="8"/>
      <c r="D310" s="48"/>
      <c r="E310" s="48"/>
      <c r="F310" s="8"/>
      <c r="G310" s="8"/>
      <c r="H310" s="8"/>
      <c r="I310" s="8"/>
      <c r="J310" s="8"/>
      <c r="K310" s="48"/>
      <c r="L310" s="49"/>
      <c r="M310" s="8"/>
      <c r="N310" s="8"/>
      <c r="O310" s="8"/>
      <c r="P310" s="7"/>
      <c r="Q310" s="8"/>
      <c r="R310" s="8"/>
      <c r="S310" s="8"/>
      <c r="T310" s="8"/>
      <c r="U310" s="8"/>
      <c r="V310" s="8"/>
      <c r="W310" s="8"/>
      <c r="X310" s="8"/>
      <c r="Y310" s="8"/>
      <c r="Z310" s="8"/>
      <c r="AA310" s="8"/>
      <c r="AB310" s="8"/>
    </row>
    <row r="311" spans="1:28" ht="14.25" customHeight="1" x14ac:dyDescent="0.25">
      <c r="A311" s="47"/>
      <c r="B311" s="8"/>
      <c r="C311" s="8"/>
      <c r="D311" s="48"/>
      <c r="E311" s="48"/>
      <c r="F311" s="8"/>
      <c r="G311" s="8"/>
      <c r="H311" s="8"/>
      <c r="I311" s="8"/>
      <c r="J311" s="8"/>
      <c r="K311" s="48"/>
      <c r="L311" s="49"/>
      <c r="M311" s="8"/>
      <c r="N311" s="8"/>
      <c r="O311" s="8"/>
      <c r="P311" s="7"/>
      <c r="Q311" s="8"/>
      <c r="R311" s="8"/>
      <c r="S311" s="8"/>
      <c r="T311" s="8"/>
      <c r="U311" s="8"/>
      <c r="V311" s="8"/>
      <c r="W311" s="8"/>
      <c r="X311" s="8"/>
      <c r="Y311" s="8"/>
      <c r="Z311" s="8"/>
      <c r="AA311" s="8"/>
      <c r="AB311" s="8"/>
    </row>
    <row r="312" spans="1:28" ht="14.25" customHeight="1" x14ac:dyDescent="0.25">
      <c r="A312" s="47"/>
      <c r="B312" s="8"/>
      <c r="C312" s="8"/>
      <c r="D312" s="48"/>
      <c r="E312" s="48"/>
      <c r="F312" s="8"/>
      <c r="G312" s="8"/>
      <c r="H312" s="8"/>
      <c r="I312" s="8"/>
      <c r="J312" s="8"/>
      <c r="K312" s="48"/>
      <c r="L312" s="49"/>
      <c r="M312" s="8"/>
      <c r="N312" s="8"/>
      <c r="O312" s="8"/>
      <c r="P312" s="7"/>
      <c r="Q312" s="8"/>
      <c r="R312" s="8"/>
      <c r="S312" s="8"/>
      <c r="T312" s="8"/>
      <c r="U312" s="8"/>
      <c r="V312" s="8"/>
      <c r="W312" s="8"/>
      <c r="X312" s="8"/>
      <c r="Y312" s="8"/>
      <c r="Z312" s="8"/>
      <c r="AA312" s="8"/>
      <c r="AB312" s="8"/>
    </row>
    <row r="313" spans="1:28" ht="14.25" customHeight="1" x14ac:dyDescent="0.25">
      <c r="A313" s="47"/>
      <c r="B313" s="8"/>
      <c r="C313" s="8"/>
      <c r="D313" s="48"/>
      <c r="E313" s="48"/>
      <c r="F313" s="8"/>
      <c r="G313" s="8"/>
      <c r="H313" s="8"/>
      <c r="I313" s="8"/>
      <c r="J313" s="8"/>
      <c r="K313" s="48"/>
      <c r="L313" s="49"/>
      <c r="M313" s="8"/>
      <c r="N313" s="8"/>
      <c r="O313" s="8"/>
      <c r="P313" s="7"/>
      <c r="Q313" s="8"/>
      <c r="R313" s="8"/>
      <c r="S313" s="8"/>
      <c r="T313" s="8"/>
      <c r="U313" s="8"/>
      <c r="V313" s="8"/>
      <c r="W313" s="8"/>
      <c r="X313" s="8"/>
      <c r="Y313" s="8"/>
      <c r="Z313" s="8"/>
      <c r="AA313" s="8"/>
      <c r="AB313" s="8"/>
    </row>
    <row r="314" spans="1:28" ht="14.25" customHeight="1" x14ac:dyDescent="0.25">
      <c r="A314" s="47"/>
      <c r="B314" s="8"/>
      <c r="C314" s="8"/>
      <c r="D314" s="48"/>
      <c r="E314" s="48"/>
      <c r="F314" s="8"/>
      <c r="G314" s="8"/>
      <c r="H314" s="8"/>
      <c r="I314" s="8"/>
      <c r="J314" s="8"/>
      <c r="K314" s="48"/>
      <c r="L314" s="49"/>
      <c r="M314" s="8"/>
      <c r="N314" s="8"/>
      <c r="O314" s="8"/>
      <c r="P314" s="7"/>
      <c r="Q314" s="8"/>
      <c r="R314" s="8"/>
      <c r="S314" s="8"/>
      <c r="T314" s="8"/>
      <c r="U314" s="8"/>
      <c r="V314" s="8"/>
      <c r="W314" s="8"/>
      <c r="X314" s="8"/>
      <c r="Y314" s="8"/>
      <c r="Z314" s="8"/>
      <c r="AA314" s="8"/>
      <c r="AB314" s="8"/>
    </row>
    <row r="315" spans="1:28" ht="14.25" customHeight="1" x14ac:dyDescent="0.25">
      <c r="A315" s="47"/>
      <c r="B315" s="8"/>
      <c r="C315" s="8"/>
      <c r="D315" s="48"/>
      <c r="E315" s="48"/>
      <c r="F315" s="8"/>
      <c r="G315" s="8"/>
      <c r="H315" s="8"/>
      <c r="I315" s="8"/>
      <c r="J315" s="8"/>
      <c r="K315" s="48"/>
      <c r="L315" s="49"/>
      <c r="M315" s="8"/>
      <c r="N315" s="8"/>
      <c r="O315" s="8"/>
      <c r="P315" s="7"/>
      <c r="Q315" s="8"/>
      <c r="R315" s="8"/>
      <c r="S315" s="8"/>
      <c r="T315" s="8"/>
      <c r="U315" s="8"/>
      <c r="V315" s="8"/>
      <c r="W315" s="8"/>
      <c r="X315" s="8"/>
      <c r="Y315" s="8"/>
      <c r="Z315" s="8"/>
      <c r="AA315" s="8"/>
      <c r="AB315" s="8"/>
    </row>
    <row r="316" spans="1:28" ht="14.25" customHeight="1" x14ac:dyDescent="0.25">
      <c r="A316" s="47"/>
      <c r="B316" s="8"/>
      <c r="C316" s="8"/>
      <c r="D316" s="48"/>
      <c r="E316" s="48"/>
      <c r="F316" s="8"/>
      <c r="G316" s="8"/>
      <c r="H316" s="8"/>
      <c r="I316" s="8"/>
      <c r="J316" s="8"/>
      <c r="K316" s="48"/>
      <c r="L316" s="49"/>
      <c r="M316" s="8"/>
      <c r="N316" s="8"/>
      <c r="O316" s="8"/>
      <c r="P316" s="7"/>
      <c r="Q316" s="8"/>
      <c r="R316" s="8"/>
      <c r="S316" s="8"/>
      <c r="T316" s="8"/>
      <c r="U316" s="8"/>
      <c r="V316" s="8"/>
      <c r="W316" s="8"/>
      <c r="X316" s="8"/>
      <c r="Y316" s="8"/>
      <c r="Z316" s="8"/>
      <c r="AA316" s="8"/>
      <c r="AB316" s="8"/>
    </row>
    <row r="317" spans="1:28" ht="14.25" customHeight="1" x14ac:dyDescent="0.25">
      <c r="A317" s="47"/>
      <c r="B317" s="8"/>
      <c r="C317" s="8"/>
      <c r="D317" s="48"/>
      <c r="E317" s="48"/>
      <c r="F317" s="8"/>
      <c r="G317" s="8"/>
      <c r="H317" s="8"/>
      <c r="I317" s="8"/>
      <c r="J317" s="8"/>
      <c r="K317" s="48"/>
      <c r="L317" s="49"/>
      <c r="M317" s="8"/>
      <c r="N317" s="8"/>
      <c r="O317" s="8"/>
      <c r="P317" s="7"/>
      <c r="Q317" s="8"/>
      <c r="R317" s="8"/>
      <c r="S317" s="8"/>
      <c r="T317" s="8"/>
      <c r="U317" s="8"/>
      <c r="V317" s="8"/>
      <c r="W317" s="8"/>
      <c r="X317" s="8"/>
      <c r="Y317" s="8"/>
      <c r="Z317" s="8"/>
      <c r="AA317" s="8"/>
      <c r="AB317" s="8"/>
    </row>
    <row r="318" spans="1:28" ht="14.25" customHeight="1" x14ac:dyDescent="0.25">
      <c r="A318" s="47"/>
      <c r="B318" s="8"/>
      <c r="C318" s="8"/>
      <c r="D318" s="48"/>
      <c r="E318" s="48"/>
      <c r="F318" s="8"/>
      <c r="G318" s="8"/>
      <c r="H318" s="8"/>
      <c r="I318" s="8"/>
      <c r="J318" s="8"/>
      <c r="K318" s="48"/>
      <c r="L318" s="49"/>
      <c r="M318" s="8"/>
      <c r="N318" s="8"/>
      <c r="O318" s="8"/>
      <c r="P318" s="7"/>
      <c r="Q318" s="8"/>
      <c r="R318" s="8"/>
      <c r="S318" s="8"/>
      <c r="T318" s="8"/>
      <c r="U318" s="8"/>
      <c r="V318" s="8"/>
      <c r="W318" s="8"/>
      <c r="X318" s="8"/>
      <c r="Y318" s="8"/>
      <c r="Z318" s="8"/>
      <c r="AA318" s="8"/>
      <c r="AB318" s="8"/>
    </row>
    <row r="319" spans="1:28" ht="14.25" customHeight="1" x14ac:dyDescent="0.25">
      <c r="A319" s="47"/>
      <c r="B319" s="8"/>
      <c r="C319" s="8"/>
      <c r="D319" s="48"/>
      <c r="E319" s="48"/>
      <c r="F319" s="8"/>
      <c r="G319" s="8"/>
      <c r="H319" s="8"/>
      <c r="I319" s="8"/>
      <c r="J319" s="8"/>
      <c r="K319" s="48"/>
      <c r="L319" s="49"/>
      <c r="M319" s="8"/>
      <c r="N319" s="8"/>
      <c r="O319" s="8"/>
      <c r="P319" s="7"/>
      <c r="Q319" s="8"/>
      <c r="R319" s="8"/>
      <c r="S319" s="8"/>
      <c r="T319" s="8"/>
      <c r="U319" s="8"/>
      <c r="V319" s="8"/>
      <c r="W319" s="8"/>
      <c r="X319" s="8"/>
      <c r="Y319" s="8"/>
      <c r="Z319" s="8"/>
      <c r="AA319" s="8"/>
      <c r="AB319" s="8"/>
    </row>
    <row r="320" spans="1:28" ht="14.25" customHeight="1" x14ac:dyDescent="0.25">
      <c r="A320" s="47"/>
      <c r="B320" s="8"/>
      <c r="C320" s="8"/>
      <c r="D320" s="48"/>
      <c r="E320" s="48"/>
      <c r="F320" s="8"/>
      <c r="G320" s="8"/>
      <c r="H320" s="8"/>
      <c r="I320" s="8"/>
      <c r="J320" s="8"/>
      <c r="K320" s="48"/>
      <c r="L320" s="49"/>
      <c r="M320" s="8"/>
      <c r="N320" s="8"/>
      <c r="O320" s="8"/>
      <c r="P320" s="7"/>
      <c r="Q320" s="8"/>
      <c r="R320" s="8"/>
      <c r="S320" s="8"/>
      <c r="T320" s="8"/>
      <c r="U320" s="8"/>
      <c r="V320" s="8"/>
      <c r="W320" s="8"/>
      <c r="X320" s="8"/>
      <c r="Y320" s="8"/>
      <c r="Z320" s="8"/>
      <c r="AA320" s="8"/>
      <c r="AB320" s="8"/>
    </row>
    <row r="321" spans="1:28" ht="14.25" customHeight="1" x14ac:dyDescent="0.25">
      <c r="A321" s="47"/>
      <c r="B321" s="8"/>
      <c r="C321" s="8"/>
      <c r="D321" s="48"/>
      <c r="E321" s="48"/>
      <c r="F321" s="8"/>
      <c r="G321" s="8"/>
      <c r="H321" s="8"/>
      <c r="I321" s="8"/>
      <c r="J321" s="8"/>
      <c r="K321" s="48"/>
      <c r="L321" s="49"/>
      <c r="M321" s="8"/>
      <c r="N321" s="8"/>
      <c r="O321" s="8"/>
      <c r="P321" s="7"/>
      <c r="Q321" s="8"/>
      <c r="R321" s="8"/>
      <c r="S321" s="8"/>
      <c r="T321" s="8"/>
      <c r="U321" s="8"/>
      <c r="V321" s="8"/>
      <c r="W321" s="8"/>
      <c r="X321" s="8"/>
      <c r="Y321" s="8"/>
      <c r="Z321" s="8"/>
      <c r="AA321" s="8"/>
      <c r="AB321" s="8"/>
    </row>
    <row r="322" spans="1:28" ht="14.25" customHeight="1" x14ac:dyDescent="0.25">
      <c r="A322" s="47"/>
      <c r="B322" s="8"/>
      <c r="C322" s="8"/>
      <c r="D322" s="48"/>
      <c r="E322" s="48"/>
      <c r="F322" s="8"/>
      <c r="G322" s="8"/>
      <c r="H322" s="8"/>
      <c r="I322" s="8"/>
      <c r="J322" s="8"/>
      <c r="K322" s="48"/>
      <c r="L322" s="49"/>
      <c r="M322" s="8"/>
      <c r="N322" s="8"/>
      <c r="O322" s="8"/>
      <c r="P322" s="7"/>
      <c r="Q322" s="8"/>
      <c r="R322" s="8"/>
      <c r="S322" s="8"/>
      <c r="T322" s="8"/>
      <c r="U322" s="8"/>
      <c r="V322" s="8"/>
      <c r="W322" s="8"/>
      <c r="X322" s="8"/>
      <c r="Y322" s="8"/>
      <c r="Z322" s="8"/>
      <c r="AA322" s="8"/>
      <c r="AB322" s="8"/>
    </row>
    <row r="323" spans="1:28" ht="14.25" customHeight="1" x14ac:dyDescent="0.25">
      <c r="A323" s="47"/>
      <c r="B323" s="8"/>
      <c r="C323" s="8"/>
      <c r="D323" s="48"/>
      <c r="E323" s="48"/>
      <c r="F323" s="8"/>
      <c r="G323" s="8"/>
      <c r="H323" s="8"/>
      <c r="I323" s="8"/>
      <c r="J323" s="8"/>
      <c r="K323" s="48"/>
      <c r="L323" s="49"/>
      <c r="M323" s="8"/>
      <c r="N323" s="8"/>
      <c r="O323" s="8"/>
      <c r="P323" s="7"/>
      <c r="Q323" s="8"/>
      <c r="R323" s="8"/>
      <c r="S323" s="8"/>
      <c r="T323" s="8"/>
      <c r="U323" s="8"/>
      <c r="V323" s="8"/>
      <c r="W323" s="8"/>
      <c r="X323" s="8"/>
      <c r="Y323" s="8"/>
      <c r="Z323" s="8"/>
      <c r="AA323" s="8"/>
      <c r="AB323" s="8"/>
    </row>
    <row r="324" spans="1:28" ht="14.25" customHeight="1" x14ac:dyDescent="0.25">
      <c r="A324" s="47"/>
      <c r="B324" s="8"/>
      <c r="C324" s="8"/>
      <c r="D324" s="48"/>
      <c r="E324" s="48"/>
      <c r="F324" s="8"/>
      <c r="G324" s="8"/>
      <c r="H324" s="8"/>
      <c r="I324" s="8"/>
      <c r="J324" s="8"/>
      <c r="K324" s="48"/>
      <c r="L324" s="49"/>
      <c r="M324" s="8"/>
      <c r="N324" s="8"/>
      <c r="O324" s="8"/>
      <c r="P324" s="7"/>
      <c r="Q324" s="8"/>
      <c r="R324" s="8"/>
      <c r="S324" s="8"/>
      <c r="T324" s="8"/>
      <c r="U324" s="8"/>
      <c r="V324" s="8"/>
      <c r="W324" s="8"/>
      <c r="X324" s="8"/>
      <c r="Y324" s="8"/>
      <c r="Z324" s="8"/>
      <c r="AA324" s="8"/>
      <c r="AB324" s="8"/>
    </row>
    <row r="325" spans="1:28" ht="14.25" customHeight="1" x14ac:dyDescent="0.25">
      <c r="A325" s="47"/>
      <c r="B325" s="8"/>
      <c r="C325" s="8"/>
      <c r="D325" s="48"/>
      <c r="E325" s="48"/>
      <c r="F325" s="8"/>
      <c r="G325" s="8"/>
      <c r="H325" s="8"/>
      <c r="I325" s="8"/>
      <c r="J325" s="8"/>
      <c r="K325" s="48"/>
      <c r="L325" s="49"/>
      <c r="M325" s="8"/>
      <c r="N325" s="8"/>
      <c r="O325" s="8"/>
      <c r="P325" s="7"/>
      <c r="Q325" s="8"/>
      <c r="R325" s="8"/>
      <c r="S325" s="8"/>
      <c r="T325" s="8"/>
      <c r="U325" s="8"/>
      <c r="V325" s="8"/>
      <c r="W325" s="8"/>
      <c r="X325" s="8"/>
      <c r="Y325" s="8"/>
      <c r="Z325" s="8"/>
      <c r="AA325" s="8"/>
      <c r="AB325" s="8"/>
    </row>
    <row r="326" spans="1:28" ht="14.25" customHeight="1" x14ac:dyDescent="0.25">
      <c r="A326" s="47"/>
      <c r="B326" s="8"/>
      <c r="C326" s="8"/>
      <c r="D326" s="48"/>
      <c r="E326" s="48"/>
      <c r="F326" s="8"/>
      <c r="G326" s="8"/>
      <c r="H326" s="8"/>
      <c r="I326" s="8"/>
      <c r="J326" s="8"/>
      <c r="K326" s="48"/>
      <c r="L326" s="49"/>
      <c r="M326" s="8"/>
      <c r="N326" s="8"/>
      <c r="O326" s="8"/>
      <c r="P326" s="7"/>
      <c r="Q326" s="8"/>
      <c r="R326" s="8"/>
      <c r="S326" s="8"/>
      <c r="T326" s="8"/>
      <c r="U326" s="8"/>
      <c r="V326" s="8"/>
      <c r="W326" s="8"/>
      <c r="X326" s="8"/>
      <c r="Y326" s="8"/>
      <c r="Z326" s="8"/>
      <c r="AA326" s="8"/>
      <c r="AB326" s="8"/>
    </row>
    <row r="327" spans="1:28" ht="14.25" customHeight="1" x14ac:dyDescent="0.25">
      <c r="A327" s="47"/>
      <c r="B327" s="8"/>
      <c r="C327" s="8"/>
      <c r="D327" s="48"/>
      <c r="E327" s="48"/>
      <c r="F327" s="8"/>
      <c r="G327" s="8"/>
      <c r="H327" s="8"/>
      <c r="I327" s="8"/>
      <c r="J327" s="8"/>
      <c r="K327" s="48"/>
      <c r="L327" s="49"/>
      <c r="M327" s="8"/>
      <c r="N327" s="8"/>
      <c r="O327" s="8"/>
      <c r="P327" s="7"/>
      <c r="Q327" s="8"/>
      <c r="R327" s="8"/>
      <c r="S327" s="8"/>
      <c r="T327" s="8"/>
      <c r="U327" s="8"/>
      <c r="V327" s="8"/>
      <c r="W327" s="8"/>
      <c r="X327" s="8"/>
      <c r="Y327" s="8"/>
      <c r="Z327" s="8"/>
      <c r="AA327" s="8"/>
      <c r="AB327" s="8"/>
    </row>
    <row r="328" spans="1:28" ht="14.25" customHeight="1" x14ac:dyDescent="0.25">
      <c r="A328" s="47"/>
      <c r="B328" s="8"/>
      <c r="C328" s="8"/>
      <c r="D328" s="48"/>
      <c r="E328" s="48"/>
      <c r="F328" s="8"/>
      <c r="G328" s="8"/>
      <c r="H328" s="8"/>
      <c r="I328" s="8"/>
      <c r="J328" s="8"/>
      <c r="K328" s="48"/>
      <c r="L328" s="49"/>
      <c r="M328" s="8"/>
      <c r="N328" s="8"/>
      <c r="O328" s="8"/>
      <c r="P328" s="7"/>
      <c r="Q328" s="8"/>
      <c r="R328" s="8"/>
      <c r="S328" s="8"/>
      <c r="T328" s="8"/>
      <c r="U328" s="8"/>
      <c r="V328" s="8"/>
      <c r="W328" s="8"/>
      <c r="X328" s="8"/>
      <c r="Y328" s="8"/>
      <c r="Z328" s="8"/>
      <c r="AA328" s="8"/>
      <c r="AB328" s="8"/>
    </row>
    <row r="329" spans="1:28" ht="14.25" customHeight="1" x14ac:dyDescent="0.25">
      <c r="A329" s="47"/>
      <c r="B329" s="8"/>
      <c r="C329" s="8"/>
      <c r="D329" s="48"/>
      <c r="E329" s="48"/>
      <c r="F329" s="8"/>
      <c r="G329" s="8"/>
      <c r="H329" s="8"/>
      <c r="I329" s="8"/>
      <c r="J329" s="8"/>
      <c r="K329" s="48"/>
      <c r="L329" s="49"/>
      <c r="M329" s="8"/>
      <c r="N329" s="8"/>
      <c r="O329" s="8"/>
      <c r="P329" s="7"/>
      <c r="Q329" s="8"/>
      <c r="R329" s="8"/>
      <c r="S329" s="8"/>
      <c r="T329" s="8"/>
      <c r="U329" s="8"/>
      <c r="V329" s="8"/>
      <c r="W329" s="8"/>
      <c r="X329" s="8"/>
      <c r="Y329" s="8"/>
      <c r="Z329" s="8"/>
      <c r="AA329" s="8"/>
      <c r="AB329" s="8"/>
    </row>
    <row r="330" spans="1:28" ht="14.25" customHeight="1" x14ac:dyDescent="0.25">
      <c r="A330" s="47"/>
      <c r="B330" s="8"/>
      <c r="C330" s="8"/>
      <c r="D330" s="48"/>
      <c r="E330" s="48"/>
      <c r="F330" s="8"/>
      <c r="G330" s="8"/>
      <c r="H330" s="8"/>
      <c r="I330" s="8"/>
      <c r="J330" s="8"/>
      <c r="K330" s="48"/>
      <c r="L330" s="49"/>
      <c r="M330" s="8"/>
      <c r="N330" s="8"/>
      <c r="O330" s="8"/>
      <c r="P330" s="7"/>
      <c r="Q330" s="8"/>
      <c r="R330" s="8"/>
      <c r="S330" s="8"/>
      <c r="T330" s="8"/>
      <c r="U330" s="8"/>
      <c r="V330" s="8"/>
      <c r="W330" s="8"/>
      <c r="X330" s="8"/>
      <c r="Y330" s="8"/>
      <c r="Z330" s="8"/>
      <c r="AA330" s="8"/>
      <c r="AB330" s="8"/>
    </row>
    <row r="331" spans="1:28" ht="14.25" customHeight="1" x14ac:dyDescent="0.25">
      <c r="A331" s="47"/>
      <c r="B331" s="8"/>
      <c r="C331" s="8"/>
      <c r="D331" s="48"/>
      <c r="E331" s="48"/>
      <c r="F331" s="8"/>
      <c r="G331" s="8"/>
      <c r="H331" s="8"/>
      <c r="I331" s="8"/>
      <c r="J331" s="8"/>
      <c r="K331" s="48"/>
      <c r="L331" s="49"/>
      <c r="M331" s="8"/>
      <c r="N331" s="8"/>
      <c r="O331" s="8"/>
      <c r="P331" s="7"/>
      <c r="Q331" s="8"/>
      <c r="R331" s="8"/>
      <c r="S331" s="8"/>
      <c r="T331" s="8"/>
      <c r="U331" s="8"/>
      <c r="V331" s="8"/>
      <c r="W331" s="8"/>
      <c r="X331" s="8"/>
      <c r="Y331" s="8"/>
      <c r="Z331" s="8"/>
      <c r="AA331" s="8"/>
      <c r="AB331" s="8"/>
    </row>
    <row r="332" spans="1:28" ht="14.25" customHeight="1" x14ac:dyDescent="0.25">
      <c r="A332" s="47"/>
      <c r="B332" s="8"/>
      <c r="C332" s="8"/>
      <c r="D332" s="48"/>
      <c r="E332" s="48"/>
      <c r="F332" s="8"/>
      <c r="G332" s="8"/>
      <c r="H332" s="8"/>
      <c r="I332" s="8"/>
      <c r="J332" s="8"/>
      <c r="K332" s="48"/>
      <c r="L332" s="49"/>
      <c r="M332" s="8"/>
      <c r="N332" s="8"/>
      <c r="O332" s="8"/>
      <c r="P332" s="7"/>
      <c r="Q332" s="8"/>
      <c r="R332" s="8"/>
      <c r="S332" s="8"/>
      <c r="T332" s="8"/>
      <c r="U332" s="8"/>
      <c r="V332" s="8"/>
      <c r="W332" s="8"/>
      <c r="X332" s="8"/>
      <c r="Y332" s="8"/>
      <c r="Z332" s="8"/>
      <c r="AA332" s="8"/>
      <c r="AB332" s="8"/>
    </row>
    <row r="333" spans="1:28" ht="14.25" customHeight="1" x14ac:dyDescent="0.25">
      <c r="A333" s="47"/>
      <c r="B333" s="8"/>
      <c r="C333" s="8"/>
      <c r="D333" s="48"/>
      <c r="E333" s="48"/>
      <c r="F333" s="8"/>
      <c r="G333" s="8"/>
      <c r="H333" s="8"/>
      <c r="I333" s="8"/>
      <c r="J333" s="8"/>
      <c r="K333" s="48"/>
      <c r="L333" s="49"/>
      <c r="M333" s="8"/>
      <c r="N333" s="8"/>
      <c r="O333" s="8"/>
      <c r="P333" s="7"/>
      <c r="Q333" s="8"/>
      <c r="R333" s="8"/>
      <c r="S333" s="8"/>
      <c r="T333" s="8"/>
      <c r="U333" s="8"/>
      <c r="V333" s="8"/>
      <c r="W333" s="8"/>
      <c r="X333" s="8"/>
      <c r="Y333" s="8"/>
      <c r="Z333" s="8"/>
      <c r="AA333" s="8"/>
      <c r="AB333" s="8"/>
    </row>
    <row r="334" spans="1:28" ht="14.25" customHeight="1" x14ac:dyDescent="0.25">
      <c r="A334" s="47"/>
      <c r="B334" s="8"/>
      <c r="C334" s="8"/>
      <c r="D334" s="48"/>
      <c r="E334" s="48"/>
      <c r="F334" s="8"/>
      <c r="G334" s="8"/>
      <c r="H334" s="8"/>
      <c r="I334" s="8"/>
      <c r="J334" s="8"/>
      <c r="K334" s="48"/>
      <c r="L334" s="49"/>
      <c r="M334" s="8"/>
      <c r="N334" s="8"/>
      <c r="O334" s="8"/>
      <c r="P334" s="7"/>
      <c r="Q334" s="8"/>
      <c r="R334" s="8"/>
      <c r="S334" s="8"/>
      <c r="T334" s="8"/>
      <c r="U334" s="8"/>
      <c r="V334" s="8"/>
      <c r="W334" s="8"/>
      <c r="X334" s="8"/>
      <c r="Y334" s="8"/>
      <c r="Z334" s="8"/>
      <c r="AA334" s="8"/>
      <c r="AB334" s="8"/>
    </row>
    <row r="335" spans="1:28" ht="14.25" customHeight="1" x14ac:dyDescent="0.25">
      <c r="A335" s="47"/>
      <c r="B335" s="8"/>
      <c r="C335" s="8"/>
      <c r="D335" s="48"/>
      <c r="E335" s="48"/>
      <c r="F335" s="8"/>
      <c r="G335" s="8"/>
      <c r="H335" s="8"/>
      <c r="I335" s="8"/>
      <c r="J335" s="8"/>
      <c r="K335" s="48"/>
      <c r="L335" s="49"/>
      <c r="M335" s="8"/>
      <c r="N335" s="8"/>
      <c r="O335" s="8"/>
      <c r="P335" s="7"/>
      <c r="Q335" s="8"/>
      <c r="R335" s="8"/>
      <c r="S335" s="8"/>
      <c r="T335" s="8"/>
      <c r="U335" s="8"/>
      <c r="V335" s="8"/>
      <c r="W335" s="8"/>
      <c r="X335" s="8"/>
      <c r="Y335" s="8"/>
      <c r="Z335" s="8"/>
      <c r="AA335" s="8"/>
      <c r="AB335" s="8"/>
    </row>
    <row r="336" spans="1:28" ht="14.25" customHeight="1" x14ac:dyDescent="0.25">
      <c r="A336" s="47"/>
      <c r="B336" s="8"/>
      <c r="C336" s="8"/>
      <c r="D336" s="48"/>
      <c r="E336" s="48"/>
      <c r="F336" s="8"/>
      <c r="G336" s="8"/>
      <c r="H336" s="8"/>
      <c r="I336" s="8"/>
      <c r="J336" s="8"/>
      <c r="K336" s="48"/>
      <c r="L336" s="49"/>
      <c r="M336" s="8"/>
      <c r="N336" s="8"/>
      <c r="O336" s="8"/>
      <c r="P336" s="7"/>
      <c r="Q336" s="8"/>
      <c r="R336" s="8"/>
      <c r="S336" s="8"/>
      <c r="T336" s="8"/>
      <c r="U336" s="8"/>
      <c r="V336" s="8"/>
      <c r="W336" s="8"/>
      <c r="X336" s="8"/>
      <c r="Y336" s="8"/>
      <c r="Z336" s="8"/>
      <c r="AA336" s="8"/>
      <c r="AB336" s="8"/>
    </row>
    <row r="337" spans="1:28" ht="14.25" customHeight="1" x14ac:dyDescent="0.25">
      <c r="A337" s="47"/>
      <c r="B337" s="8"/>
      <c r="C337" s="8"/>
      <c r="D337" s="48"/>
      <c r="E337" s="48"/>
      <c r="F337" s="8"/>
      <c r="G337" s="8"/>
      <c r="H337" s="8"/>
      <c r="I337" s="8"/>
      <c r="J337" s="8"/>
      <c r="K337" s="48"/>
      <c r="L337" s="49"/>
      <c r="M337" s="8"/>
      <c r="N337" s="8"/>
      <c r="O337" s="8"/>
      <c r="P337" s="7"/>
      <c r="Q337" s="8"/>
      <c r="R337" s="8"/>
      <c r="S337" s="8"/>
      <c r="T337" s="8"/>
      <c r="U337" s="8"/>
      <c r="V337" s="8"/>
      <c r="W337" s="8"/>
      <c r="X337" s="8"/>
      <c r="Y337" s="8"/>
      <c r="Z337" s="8"/>
      <c r="AA337" s="8"/>
      <c r="AB337" s="8"/>
    </row>
    <row r="338" spans="1:28" ht="14.25" customHeight="1" x14ac:dyDescent="0.25">
      <c r="A338" s="47"/>
      <c r="B338" s="8"/>
      <c r="C338" s="8"/>
      <c r="D338" s="48"/>
      <c r="E338" s="48"/>
      <c r="F338" s="8"/>
      <c r="G338" s="8"/>
      <c r="H338" s="8"/>
      <c r="I338" s="8"/>
      <c r="J338" s="8"/>
      <c r="K338" s="48"/>
      <c r="L338" s="49"/>
      <c r="M338" s="8"/>
      <c r="N338" s="8"/>
      <c r="O338" s="8"/>
      <c r="P338" s="7"/>
      <c r="Q338" s="8"/>
      <c r="R338" s="8"/>
      <c r="S338" s="8"/>
      <c r="T338" s="8"/>
      <c r="U338" s="8"/>
      <c r="V338" s="8"/>
      <c r="W338" s="8"/>
      <c r="X338" s="8"/>
      <c r="Y338" s="8"/>
      <c r="Z338" s="8"/>
      <c r="AA338" s="8"/>
      <c r="AB338" s="8"/>
    </row>
    <row r="339" spans="1:28" ht="14.25" customHeight="1" x14ac:dyDescent="0.25">
      <c r="A339" s="47"/>
      <c r="B339" s="8"/>
      <c r="C339" s="8"/>
      <c r="D339" s="48"/>
      <c r="E339" s="48"/>
      <c r="F339" s="8"/>
      <c r="G339" s="8"/>
      <c r="H339" s="8"/>
      <c r="I339" s="8"/>
      <c r="J339" s="8"/>
      <c r="K339" s="48"/>
      <c r="L339" s="49"/>
      <c r="M339" s="8"/>
      <c r="N339" s="8"/>
      <c r="O339" s="8"/>
      <c r="P339" s="7"/>
      <c r="Q339" s="8"/>
      <c r="R339" s="8"/>
      <c r="S339" s="8"/>
      <c r="T339" s="8"/>
      <c r="U339" s="8"/>
      <c r="V339" s="8"/>
      <c r="W339" s="8"/>
      <c r="X339" s="8"/>
      <c r="Y339" s="8"/>
      <c r="Z339" s="8"/>
      <c r="AA339" s="8"/>
      <c r="AB339" s="8"/>
    </row>
    <row r="340" spans="1:28" ht="14.25" customHeight="1" x14ac:dyDescent="0.25">
      <c r="A340" s="47"/>
      <c r="B340" s="8"/>
      <c r="C340" s="8"/>
      <c r="D340" s="48"/>
      <c r="E340" s="48"/>
      <c r="F340" s="8"/>
      <c r="G340" s="8"/>
      <c r="H340" s="8"/>
      <c r="I340" s="8"/>
      <c r="J340" s="8"/>
      <c r="K340" s="48"/>
      <c r="L340" s="49"/>
      <c r="M340" s="8"/>
      <c r="N340" s="8"/>
      <c r="O340" s="8"/>
      <c r="P340" s="7"/>
      <c r="Q340" s="8"/>
      <c r="R340" s="8"/>
      <c r="S340" s="8"/>
      <c r="T340" s="8"/>
      <c r="U340" s="8"/>
      <c r="V340" s="8"/>
      <c r="W340" s="8"/>
      <c r="X340" s="8"/>
      <c r="Y340" s="8"/>
      <c r="Z340" s="8"/>
      <c r="AA340" s="8"/>
      <c r="AB340" s="8"/>
    </row>
    <row r="341" spans="1:28" ht="14.25" customHeight="1" x14ac:dyDescent="0.25">
      <c r="A341" s="47"/>
      <c r="B341" s="8"/>
      <c r="C341" s="8"/>
      <c r="D341" s="48"/>
      <c r="E341" s="48"/>
      <c r="F341" s="8"/>
      <c r="G341" s="8"/>
      <c r="H341" s="8"/>
      <c r="I341" s="8"/>
      <c r="J341" s="8"/>
      <c r="K341" s="48"/>
      <c r="L341" s="49"/>
      <c r="M341" s="8"/>
      <c r="N341" s="8"/>
      <c r="O341" s="8"/>
      <c r="P341" s="7"/>
      <c r="Q341" s="8"/>
      <c r="R341" s="8"/>
      <c r="S341" s="8"/>
      <c r="T341" s="8"/>
      <c r="U341" s="8"/>
      <c r="V341" s="8"/>
      <c r="W341" s="8"/>
      <c r="X341" s="8"/>
      <c r="Y341" s="8"/>
      <c r="Z341" s="8"/>
      <c r="AA341" s="8"/>
      <c r="AB341" s="8"/>
    </row>
    <row r="342" spans="1:28" ht="14.25" customHeight="1" x14ac:dyDescent="0.25">
      <c r="A342" s="47"/>
      <c r="B342" s="8"/>
      <c r="C342" s="8"/>
      <c r="D342" s="48"/>
      <c r="E342" s="48"/>
      <c r="F342" s="8"/>
      <c r="G342" s="8"/>
      <c r="H342" s="8"/>
      <c r="I342" s="8"/>
      <c r="J342" s="8"/>
      <c r="K342" s="48"/>
      <c r="L342" s="49"/>
      <c r="M342" s="8"/>
      <c r="N342" s="8"/>
      <c r="O342" s="8"/>
      <c r="P342" s="7"/>
      <c r="Q342" s="8"/>
      <c r="R342" s="8"/>
      <c r="S342" s="8"/>
      <c r="T342" s="8"/>
      <c r="U342" s="8"/>
      <c r="V342" s="8"/>
      <c r="W342" s="8"/>
      <c r="X342" s="8"/>
      <c r="Y342" s="8"/>
      <c r="Z342" s="8"/>
      <c r="AA342" s="8"/>
      <c r="AB342" s="8"/>
    </row>
    <row r="343" spans="1:28" ht="14.25" customHeight="1" x14ac:dyDescent="0.25">
      <c r="A343" s="47"/>
      <c r="B343" s="8"/>
      <c r="C343" s="8"/>
      <c r="D343" s="48"/>
      <c r="E343" s="48"/>
      <c r="F343" s="8"/>
      <c r="G343" s="8"/>
      <c r="H343" s="8"/>
      <c r="I343" s="8"/>
      <c r="J343" s="8"/>
      <c r="K343" s="48"/>
      <c r="L343" s="49"/>
      <c r="M343" s="8"/>
      <c r="N343" s="8"/>
      <c r="O343" s="8"/>
      <c r="P343" s="7"/>
      <c r="Q343" s="8"/>
      <c r="R343" s="8"/>
      <c r="S343" s="8"/>
      <c r="T343" s="8"/>
      <c r="U343" s="8"/>
      <c r="V343" s="8"/>
      <c r="W343" s="8"/>
      <c r="X343" s="8"/>
      <c r="Y343" s="8"/>
      <c r="Z343" s="8"/>
      <c r="AA343" s="8"/>
      <c r="AB343" s="8"/>
    </row>
    <row r="344" spans="1:28" ht="14.25" customHeight="1" x14ac:dyDescent="0.25">
      <c r="A344" s="47"/>
      <c r="B344" s="8"/>
      <c r="C344" s="8"/>
      <c r="D344" s="48"/>
      <c r="E344" s="48"/>
      <c r="F344" s="8"/>
      <c r="G344" s="8"/>
      <c r="H344" s="8"/>
      <c r="I344" s="8"/>
      <c r="J344" s="8"/>
      <c r="K344" s="48"/>
      <c r="L344" s="49"/>
      <c r="M344" s="8"/>
      <c r="N344" s="8"/>
      <c r="O344" s="8"/>
      <c r="P344" s="7"/>
      <c r="Q344" s="8"/>
      <c r="R344" s="8"/>
      <c r="S344" s="8"/>
      <c r="T344" s="8"/>
      <c r="U344" s="8"/>
      <c r="V344" s="8"/>
      <c r="W344" s="8"/>
      <c r="X344" s="8"/>
      <c r="Y344" s="8"/>
      <c r="Z344" s="8"/>
      <c r="AA344" s="8"/>
      <c r="AB344" s="8"/>
    </row>
    <row r="345" spans="1:28" ht="14.25" customHeight="1" x14ac:dyDescent="0.25">
      <c r="A345" s="47"/>
      <c r="B345" s="8"/>
      <c r="C345" s="8"/>
      <c r="D345" s="48"/>
      <c r="E345" s="48"/>
      <c r="F345" s="8"/>
      <c r="G345" s="8"/>
      <c r="H345" s="8"/>
      <c r="I345" s="8"/>
      <c r="J345" s="8"/>
      <c r="K345" s="48"/>
      <c r="L345" s="49"/>
      <c r="M345" s="8"/>
      <c r="N345" s="8"/>
      <c r="O345" s="8"/>
      <c r="P345" s="7"/>
      <c r="Q345" s="8"/>
      <c r="R345" s="8"/>
      <c r="S345" s="8"/>
      <c r="T345" s="8"/>
      <c r="U345" s="8"/>
      <c r="V345" s="8"/>
      <c r="W345" s="8"/>
      <c r="X345" s="8"/>
      <c r="Y345" s="8"/>
      <c r="Z345" s="8"/>
      <c r="AA345" s="8"/>
      <c r="AB345" s="8"/>
    </row>
    <row r="346" spans="1:28" ht="14.25" customHeight="1" x14ac:dyDescent="0.25">
      <c r="A346" s="47"/>
      <c r="B346" s="8"/>
      <c r="C346" s="8"/>
      <c r="D346" s="48"/>
      <c r="E346" s="48"/>
      <c r="F346" s="8"/>
      <c r="G346" s="8"/>
      <c r="H346" s="8"/>
      <c r="I346" s="8"/>
      <c r="J346" s="8"/>
      <c r="K346" s="48"/>
      <c r="L346" s="49"/>
      <c r="M346" s="8"/>
      <c r="N346" s="8"/>
      <c r="O346" s="8"/>
      <c r="P346" s="7"/>
      <c r="Q346" s="8"/>
      <c r="R346" s="8"/>
      <c r="S346" s="8"/>
      <c r="T346" s="8"/>
      <c r="U346" s="8"/>
      <c r="V346" s="8"/>
      <c r="W346" s="8"/>
      <c r="X346" s="8"/>
      <c r="Y346" s="8"/>
      <c r="Z346" s="8"/>
      <c r="AA346" s="8"/>
      <c r="AB346" s="8"/>
    </row>
    <row r="347" spans="1:28" ht="14.25" customHeight="1" x14ac:dyDescent="0.25">
      <c r="A347" s="47"/>
      <c r="B347" s="8"/>
      <c r="C347" s="8"/>
      <c r="D347" s="48"/>
      <c r="E347" s="48"/>
      <c r="F347" s="8"/>
      <c r="G347" s="8"/>
      <c r="H347" s="8"/>
      <c r="I347" s="8"/>
      <c r="J347" s="8"/>
      <c r="K347" s="48"/>
      <c r="L347" s="49"/>
      <c r="M347" s="8"/>
      <c r="N347" s="8"/>
      <c r="O347" s="8"/>
      <c r="P347" s="7"/>
      <c r="Q347" s="8"/>
      <c r="R347" s="8"/>
      <c r="S347" s="8"/>
      <c r="T347" s="8"/>
      <c r="U347" s="8"/>
      <c r="V347" s="8"/>
      <c r="W347" s="8"/>
      <c r="X347" s="8"/>
      <c r="Y347" s="8"/>
      <c r="Z347" s="8"/>
      <c r="AA347" s="8"/>
      <c r="AB347" s="8"/>
    </row>
    <row r="348" spans="1:28" ht="14.25" customHeight="1" x14ac:dyDescent="0.25">
      <c r="A348" s="47"/>
      <c r="B348" s="8"/>
      <c r="C348" s="8"/>
      <c r="D348" s="48"/>
      <c r="E348" s="48"/>
      <c r="F348" s="8"/>
      <c r="G348" s="8"/>
      <c r="H348" s="8"/>
      <c r="I348" s="8"/>
      <c r="J348" s="8"/>
      <c r="K348" s="48"/>
      <c r="L348" s="49"/>
      <c r="M348" s="8"/>
      <c r="N348" s="8"/>
      <c r="O348" s="8"/>
      <c r="P348" s="7"/>
      <c r="Q348" s="8"/>
      <c r="R348" s="8"/>
      <c r="S348" s="8"/>
      <c r="T348" s="8"/>
      <c r="U348" s="8"/>
      <c r="V348" s="8"/>
      <c r="W348" s="8"/>
      <c r="X348" s="8"/>
      <c r="Y348" s="8"/>
      <c r="Z348" s="8"/>
      <c r="AA348" s="8"/>
      <c r="AB348" s="8"/>
    </row>
    <row r="349" spans="1:28" ht="14.25" customHeight="1" x14ac:dyDescent="0.25">
      <c r="A349" s="47"/>
      <c r="B349" s="8"/>
      <c r="C349" s="8"/>
      <c r="D349" s="48"/>
      <c r="E349" s="48"/>
      <c r="F349" s="8"/>
      <c r="G349" s="8"/>
      <c r="H349" s="8"/>
      <c r="I349" s="8"/>
      <c r="J349" s="8"/>
      <c r="K349" s="48"/>
      <c r="L349" s="49"/>
      <c r="M349" s="8"/>
      <c r="N349" s="8"/>
      <c r="O349" s="8"/>
      <c r="P349" s="7"/>
      <c r="Q349" s="8"/>
      <c r="R349" s="8"/>
      <c r="S349" s="8"/>
      <c r="T349" s="8"/>
      <c r="U349" s="8"/>
      <c r="V349" s="8"/>
      <c r="W349" s="8"/>
      <c r="X349" s="8"/>
      <c r="Y349" s="8"/>
      <c r="Z349" s="8"/>
      <c r="AA349" s="8"/>
      <c r="AB349" s="8"/>
    </row>
    <row r="350" spans="1:28" ht="14.25" customHeight="1" x14ac:dyDescent="0.25">
      <c r="A350" s="47"/>
      <c r="B350" s="8"/>
      <c r="C350" s="8"/>
      <c r="D350" s="48"/>
      <c r="E350" s="48"/>
      <c r="F350" s="8"/>
      <c r="G350" s="8"/>
      <c r="H350" s="8"/>
      <c r="I350" s="8"/>
      <c r="J350" s="8"/>
      <c r="K350" s="48"/>
      <c r="L350" s="49"/>
      <c r="M350" s="8"/>
      <c r="N350" s="8"/>
      <c r="O350" s="8"/>
      <c r="P350" s="7"/>
      <c r="Q350" s="8"/>
      <c r="R350" s="8"/>
      <c r="S350" s="8"/>
      <c r="T350" s="8"/>
      <c r="U350" s="8"/>
      <c r="V350" s="8"/>
      <c r="W350" s="8"/>
      <c r="X350" s="8"/>
      <c r="Y350" s="8"/>
      <c r="Z350" s="8"/>
      <c r="AA350" s="8"/>
      <c r="AB350" s="8"/>
    </row>
    <row r="351" spans="1:28" ht="14.25" customHeight="1" x14ac:dyDescent="0.25">
      <c r="A351" s="47"/>
      <c r="B351" s="8"/>
      <c r="C351" s="8"/>
      <c r="D351" s="48"/>
      <c r="E351" s="48"/>
      <c r="F351" s="8"/>
      <c r="G351" s="8"/>
      <c r="H351" s="8"/>
      <c r="I351" s="8"/>
      <c r="J351" s="8"/>
      <c r="K351" s="48"/>
      <c r="L351" s="49"/>
      <c r="M351" s="8"/>
      <c r="N351" s="8"/>
      <c r="O351" s="8"/>
      <c r="P351" s="7"/>
      <c r="Q351" s="8"/>
      <c r="R351" s="8"/>
      <c r="S351" s="8"/>
      <c r="T351" s="8"/>
      <c r="U351" s="8"/>
      <c r="V351" s="8"/>
      <c r="W351" s="8"/>
      <c r="X351" s="8"/>
      <c r="Y351" s="8"/>
      <c r="Z351" s="8"/>
      <c r="AA351" s="8"/>
      <c r="AB351" s="8"/>
    </row>
    <row r="352" spans="1:28" ht="14.25" customHeight="1" x14ac:dyDescent="0.25">
      <c r="A352" s="47"/>
      <c r="B352" s="8"/>
      <c r="C352" s="8"/>
      <c r="D352" s="48"/>
      <c r="E352" s="48"/>
      <c r="F352" s="8"/>
      <c r="G352" s="8"/>
      <c r="H352" s="8"/>
      <c r="I352" s="8"/>
      <c r="J352" s="8"/>
      <c r="K352" s="48"/>
      <c r="L352" s="49"/>
      <c r="M352" s="8"/>
      <c r="N352" s="8"/>
      <c r="O352" s="8"/>
      <c r="P352" s="7"/>
      <c r="Q352" s="8"/>
      <c r="R352" s="8"/>
      <c r="S352" s="8"/>
      <c r="T352" s="8"/>
      <c r="U352" s="8"/>
      <c r="V352" s="8"/>
      <c r="W352" s="8"/>
      <c r="X352" s="8"/>
      <c r="Y352" s="8"/>
      <c r="Z352" s="8"/>
      <c r="AA352" s="8"/>
      <c r="AB352" s="8"/>
    </row>
    <row r="353" spans="1:28" ht="14.25" customHeight="1" x14ac:dyDescent="0.25">
      <c r="A353" s="47"/>
      <c r="B353" s="8"/>
      <c r="C353" s="8"/>
      <c r="D353" s="48"/>
      <c r="E353" s="48"/>
      <c r="F353" s="8"/>
      <c r="G353" s="8"/>
      <c r="H353" s="8"/>
      <c r="I353" s="8"/>
      <c r="J353" s="8"/>
      <c r="K353" s="48"/>
      <c r="L353" s="49"/>
      <c r="M353" s="8"/>
      <c r="N353" s="8"/>
      <c r="O353" s="8"/>
      <c r="P353" s="7"/>
      <c r="Q353" s="8"/>
      <c r="R353" s="8"/>
      <c r="S353" s="8"/>
      <c r="T353" s="8"/>
      <c r="U353" s="8"/>
      <c r="V353" s="8"/>
      <c r="W353" s="8"/>
      <c r="X353" s="8"/>
      <c r="Y353" s="8"/>
      <c r="Z353" s="8"/>
      <c r="AA353" s="8"/>
      <c r="AB353" s="8"/>
    </row>
    <row r="354" spans="1:28" ht="14.25" customHeight="1" x14ac:dyDescent="0.25">
      <c r="A354" s="47"/>
      <c r="B354" s="8"/>
      <c r="C354" s="8"/>
      <c r="D354" s="48"/>
      <c r="E354" s="48"/>
      <c r="F354" s="8"/>
      <c r="G354" s="8"/>
      <c r="H354" s="8"/>
      <c r="I354" s="8"/>
      <c r="J354" s="8"/>
      <c r="K354" s="48"/>
      <c r="L354" s="49"/>
      <c r="M354" s="8"/>
      <c r="N354" s="8"/>
      <c r="O354" s="8"/>
      <c r="P354" s="7"/>
      <c r="Q354" s="8"/>
      <c r="R354" s="8"/>
      <c r="S354" s="8"/>
      <c r="T354" s="8"/>
      <c r="U354" s="8"/>
      <c r="V354" s="8"/>
      <c r="W354" s="8"/>
      <c r="X354" s="8"/>
      <c r="Y354" s="8"/>
      <c r="Z354" s="8"/>
      <c r="AA354" s="8"/>
      <c r="AB354" s="8"/>
    </row>
    <row r="355" spans="1:28" ht="14.25" customHeight="1" x14ac:dyDescent="0.25">
      <c r="A355" s="47"/>
      <c r="B355" s="8"/>
      <c r="C355" s="8"/>
      <c r="D355" s="48"/>
      <c r="E355" s="48"/>
      <c r="F355" s="8"/>
      <c r="G355" s="8"/>
      <c r="H355" s="8"/>
      <c r="I355" s="8"/>
      <c r="J355" s="8"/>
      <c r="K355" s="48"/>
      <c r="L355" s="49"/>
      <c r="M355" s="8"/>
      <c r="N355" s="8"/>
      <c r="O355" s="8"/>
      <c r="P355" s="7"/>
      <c r="Q355" s="8"/>
      <c r="R355" s="8"/>
      <c r="S355" s="8"/>
      <c r="T355" s="8"/>
      <c r="U355" s="8"/>
      <c r="V355" s="8"/>
      <c r="W355" s="8"/>
      <c r="X355" s="8"/>
      <c r="Y355" s="8"/>
      <c r="Z355" s="8"/>
      <c r="AA355" s="8"/>
      <c r="AB355" s="8"/>
    </row>
    <row r="356" spans="1:28" ht="14.25" customHeight="1" x14ac:dyDescent="0.25">
      <c r="A356" s="47"/>
      <c r="B356" s="8"/>
      <c r="C356" s="8"/>
      <c r="D356" s="48"/>
      <c r="E356" s="48"/>
      <c r="F356" s="8"/>
      <c r="G356" s="8"/>
      <c r="H356" s="8"/>
      <c r="I356" s="8"/>
      <c r="J356" s="8"/>
      <c r="K356" s="48"/>
      <c r="L356" s="49"/>
      <c r="M356" s="8"/>
      <c r="N356" s="8"/>
      <c r="O356" s="8"/>
      <c r="P356" s="7"/>
      <c r="Q356" s="8"/>
      <c r="R356" s="8"/>
      <c r="S356" s="8"/>
      <c r="T356" s="8"/>
      <c r="U356" s="8"/>
      <c r="V356" s="8"/>
      <c r="W356" s="8"/>
      <c r="X356" s="8"/>
      <c r="Y356" s="8"/>
      <c r="Z356" s="8"/>
      <c r="AA356" s="8"/>
      <c r="AB356" s="8"/>
    </row>
    <row r="357" spans="1:28" ht="14.25" customHeight="1" x14ac:dyDescent="0.25">
      <c r="A357" s="47"/>
      <c r="B357" s="8"/>
      <c r="C357" s="8"/>
      <c r="D357" s="48"/>
      <c r="E357" s="48"/>
      <c r="F357" s="8"/>
      <c r="G357" s="8"/>
      <c r="H357" s="8"/>
      <c r="I357" s="8"/>
      <c r="J357" s="8"/>
      <c r="K357" s="48"/>
      <c r="L357" s="49"/>
      <c r="M357" s="8"/>
      <c r="N357" s="8"/>
      <c r="O357" s="8"/>
      <c r="P357" s="7"/>
      <c r="Q357" s="8"/>
      <c r="R357" s="8"/>
      <c r="S357" s="8"/>
      <c r="T357" s="8"/>
      <c r="U357" s="8"/>
      <c r="V357" s="8"/>
      <c r="W357" s="8"/>
      <c r="X357" s="8"/>
      <c r="Y357" s="8"/>
      <c r="Z357" s="8"/>
      <c r="AA357" s="8"/>
      <c r="AB357" s="8"/>
    </row>
    <row r="358" spans="1:28" ht="14.25" customHeight="1" x14ac:dyDescent="0.25">
      <c r="A358" s="47"/>
      <c r="B358" s="8"/>
      <c r="C358" s="8"/>
      <c r="D358" s="48"/>
      <c r="E358" s="48"/>
      <c r="F358" s="8"/>
      <c r="G358" s="8"/>
      <c r="H358" s="8"/>
      <c r="I358" s="8"/>
      <c r="J358" s="8"/>
      <c r="K358" s="48"/>
      <c r="L358" s="49"/>
      <c r="M358" s="8"/>
      <c r="N358" s="8"/>
      <c r="O358" s="8"/>
      <c r="P358" s="7"/>
      <c r="Q358" s="8"/>
      <c r="R358" s="8"/>
      <c r="S358" s="8"/>
      <c r="T358" s="8"/>
      <c r="U358" s="8"/>
      <c r="V358" s="8"/>
      <c r="W358" s="8"/>
      <c r="X358" s="8"/>
      <c r="Y358" s="8"/>
      <c r="Z358" s="8"/>
      <c r="AA358" s="8"/>
      <c r="AB358" s="8"/>
    </row>
    <row r="359" spans="1:28" ht="14.25" customHeight="1" x14ac:dyDescent="0.25">
      <c r="A359" s="47"/>
      <c r="B359" s="8"/>
      <c r="C359" s="8"/>
      <c r="D359" s="48"/>
      <c r="E359" s="48"/>
      <c r="F359" s="8"/>
      <c r="G359" s="8"/>
      <c r="H359" s="8"/>
      <c r="I359" s="8"/>
      <c r="J359" s="8"/>
      <c r="K359" s="48"/>
      <c r="L359" s="49"/>
      <c r="M359" s="8"/>
      <c r="N359" s="8"/>
      <c r="O359" s="8"/>
      <c r="P359" s="7"/>
      <c r="Q359" s="8"/>
      <c r="R359" s="8"/>
      <c r="S359" s="8"/>
      <c r="T359" s="8"/>
      <c r="U359" s="8"/>
      <c r="V359" s="8"/>
      <c r="W359" s="8"/>
      <c r="X359" s="8"/>
      <c r="Y359" s="8"/>
      <c r="Z359" s="8"/>
      <c r="AA359" s="8"/>
      <c r="AB359" s="8"/>
    </row>
    <row r="360" spans="1:28" ht="14.25" customHeight="1" x14ac:dyDescent="0.25">
      <c r="A360" s="47"/>
      <c r="B360" s="8"/>
      <c r="C360" s="8"/>
      <c r="D360" s="48"/>
      <c r="E360" s="48"/>
      <c r="F360" s="8"/>
      <c r="G360" s="8"/>
      <c r="H360" s="8"/>
      <c r="I360" s="8"/>
      <c r="J360" s="8"/>
      <c r="K360" s="48"/>
      <c r="L360" s="49"/>
      <c r="M360" s="8"/>
      <c r="N360" s="8"/>
      <c r="O360" s="8"/>
      <c r="P360" s="7"/>
      <c r="Q360" s="8"/>
      <c r="R360" s="8"/>
      <c r="S360" s="8"/>
      <c r="T360" s="8"/>
      <c r="U360" s="8"/>
      <c r="V360" s="8"/>
      <c r="W360" s="8"/>
      <c r="X360" s="8"/>
      <c r="Y360" s="8"/>
      <c r="Z360" s="8"/>
      <c r="AA360" s="8"/>
      <c r="AB360" s="8"/>
    </row>
    <row r="361" spans="1:28" ht="14.25" customHeight="1" x14ac:dyDescent="0.25">
      <c r="A361" s="47"/>
      <c r="B361" s="8"/>
      <c r="C361" s="8"/>
      <c r="D361" s="48"/>
      <c r="E361" s="48"/>
      <c r="F361" s="8"/>
      <c r="G361" s="8"/>
      <c r="H361" s="8"/>
      <c r="I361" s="8"/>
      <c r="J361" s="8"/>
      <c r="K361" s="48"/>
      <c r="L361" s="49"/>
      <c r="M361" s="8"/>
      <c r="N361" s="8"/>
      <c r="O361" s="8"/>
      <c r="P361" s="7"/>
      <c r="Q361" s="8"/>
      <c r="R361" s="8"/>
      <c r="S361" s="8"/>
      <c r="T361" s="8"/>
      <c r="U361" s="8"/>
      <c r="V361" s="8"/>
      <c r="W361" s="8"/>
      <c r="X361" s="8"/>
      <c r="Y361" s="8"/>
      <c r="Z361" s="8"/>
      <c r="AA361" s="8"/>
      <c r="AB361" s="8"/>
    </row>
    <row r="362" spans="1:28" ht="14.25" customHeight="1" x14ac:dyDescent="0.25">
      <c r="A362" s="47"/>
      <c r="B362" s="8"/>
      <c r="C362" s="8"/>
      <c r="D362" s="48"/>
      <c r="E362" s="48"/>
      <c r="F362" s="8"/>
      <c r="G362" s="8"/>
      <c r="H362" s="8"/>
      <c r="I362" s="8"/>
      <c r="J362" s="8"/>
      <c r="K362" s="48"/>
      <c r="L362" s="49"/>
      <c r="M362" s="8"/>
      <c r="N362" s="8"/>
      <c r="O362" s="8"/>
      <c r="P362" s="7"/>
      <c r="Q362" s="8"/>
      <c r="R362" s="8"/>
      <c r="S362" s="8"/>
      <c r="T362" s="8"/>
      <c r="U362" s="8"/>
      <c r="V362" s="8"/>
      <c r="W362" s="8"/>
      <c r="X362" s="8"/>
      <c r="Y362" s="8"/>
      <c r="Z362" s="8"/>
      <c r="AA362" s="8"/>
      <c r="AB362" s="8"/>
    </row>
    <row r="363" spans="1:28" ht="14.25" customHeight="1" x14ac:dyDescent="0.25">
      <c r="A363" s="47"/>
      <c r="B363" s="8"/>
      <c r="C363" s="8"/>
      <c r="D363" s="48"/>
      <c r="E363" s="48"/>
      <c r="F363" s="8"/>
      <c r="G363" s="8"/>
      <c r="H363" s="8"/>
      <c r="I363" s="8"/>
      <c r="J363" s="8"/>
      <c r="K363" s="48"/>
      <c r="L363" s="49"/>
      <c r="M363" s="8"/>
      <c r="N363" s="8"/>
      <c r="O363" s="8"/>
      <c r="P363" s="7"/>
      <c r="Q363" s="8"/>
      <c r="R363" s="8"/>
      <c r="S363" s="8"/>
      <c r="T363" s="8"/>
      <c r="U363" s="8"/>
      <c r="V363" s="8"/>
      <c r="W363" s="8"/>
      <c r="X363" s="8"/>
      <c r="Y363" s="8"/>
      <c r="Z363" s="8"/>
      <c r="AA363" s="8"/>
      <c r="AB363" s="8"/>
    </row>
    <row r="364" spans="1:28" ht="14.25" customHeight="1" x14ac:dyDescent="0.25">
      <c r="A364" s="47"/>
      <c r="B364" s="8"/>
      <c r="C364" s="8"/>
      <c r="D364" s="48"/>
      <c r="E364" s="48"/>
      <c r="F364" s="8"/>
      <c r="G364" s="8"/>
      <c r="H364" s="8"/>
      <c r="I364" s="8"/>
      <c r="J364" s="8"/>
      <c r="K364" s="48"/>
      <c r="L364" s="49"/>
      <c r="M364" s="8"/>
      <c r="N364" s="8"/>
      <c r="O364" s="8"/>
      <c r="P364" s="7"/>
      <c r="Q364" s="8"/>
      <c r="R364" s="8"/>
      <c r="S364" s="8"/>
      <c r="T364" s="8"/>
      <c r="U364" s="8"/>
      <c r="V364" s="8"/>
      <c r="W364" s="8"/>
      <c r="X364" s="8"/>
      <c r="Y364" s="8"/>
      <c r="Z364" s="8"/>
      <c r="AA364" s="8"/>
      <c r="AB364" s="8"/>
    </row>
    <row r="365" spans="1:28" ht="14.25" customHeight="1" x14ac:dyDescent="0.25">
      <c r="A365" s="47"/>
      <c r="B365" s="8"/>
      <c r="C365" s="8"/>
      <c r="D365" s="48"/>
      <c r="E365" s="48"/>
      <c r="F365" s="8"/>
      <c r="G365" s="8"/>
      <c r="H365" s="8"/>
      <c r="I365" s="8"/>
      <c r="J365" s="8"/>
      <c r="K365" s="48"/>
      <c r="L365" s="49"/>
      <c r="M365" s="8"/>
      <c r="N365" s="8"/>
      <c r="O365" s="8"/>
      <c r="P365" s="7"/>
      <c r="Q365" s="8"/>
      <c r="R365" s="8"/>
      <c r="S365" s="8"/>
      <c r="T365" s="8"/>
      <c r="U365" s="8"/>
      <c r="V365" s="8"/>
      <c r="W365" s="8"/>
      <c r="X365" s="8"/>
      <c r="Y365" s="8"/>
      <c r="Z365" s="8"/>
      <c r="AA365" s="8"/>
      <c r="AB365" s="8"/>
    </row>
    <row r="366" spans="1:28" ht="14.25" customHeight="1" x14ac:dyDescent="0.25">
      <c r="A366" s="47"/>
      <c r="B366" s="8"/>
      <c r="C366" s="8"/>
      <c r="D366" s="48"/>
      <c r="E366" s="48"/>
      <c r="F366" s="8"/>
      <c r="G366" s="8"/>
      <c r="H366" s="8"/>
      <c r="I366" s="8"/>
      <c r="J366" s="8"/>
      <c r="K366" s="48"/>
      <c r="L366" s="49"/>
      <c r="M366" s="8"/>
      <c r="N366" s="8"/>
      <c r="O366" s="8"/>
      <c r="P366" s="7"/>
      <c r="Q366" s="8"/>
      <c r="R366" s="8"/>
      <c r="S366" s="8"/>
      <c r="T366" s="8"/>
      <c r="U366" s="8"/>
      <c r="V366" s="8"/>
      <c r="W366" s="8"/>
      <c r="X366" s="8"/>
      <c r="Y366" s="8"/>
      <c r="Z366" s="8"/>
      <c r="AA366" s="8"/>
      <c r="AB366" s="8"/>
    </row>
    <row r="367" spans="1:28" ht="14.25" customHeight="1" x14ac:dyDescent="0.25">
      <c r="A367" s="47"/>
      <c r="B367" s="8"/>
      <c r="C367" s="8"/>
      <c r="D367" s="48"/>
      <c r="E367" s="48"/>
      <c r="F367" s="8"/>
      <c r="G367" s="8"/>
      <c r="H367" s="8"/>
      <c r="I367" s="8"/>
      <c r="J367" s="8"/>
      <c r="K367" s="48"/>
      <c r="L367" s="49"/>
      <c r="M367" s="8"/>
      <c r="N367" s="8"/>
      <c r="O367" s="8"/>
      <c r="P367" s="7"/>
      <c r="Q367" s="8"/>
      <c r="R367" s="8"/>
      <c r="S367" s="8"/>
      <c r="T367" s="8"/>
      <c r="U367" s="8"/>
      <c r="V367" s="8"/>
      <c r="W367" s="8"/>
      <c r="X367" s="8"/>
      <c r="Y367" s="8"/>
      <c r="Z367" s="8"/>
      <c r="AA367" s="8"/>
      <c r="AB367" s="8"/>
    </row>
    <row r="368" spans="1:28" ht="14.25" customHeight="1" x14ac:dyDescent="0.25">
      <c r="A368" s="47"/>
      <c r="B368" s="8"/>
      <c r="C368" s="8"/>
      <c r="D368" s="48"/>
      <c r="E368" s="48"/>
      <c r="F368" s="8"/>
      <c r="G368" s="8"/>
      <c r="H368" s="8"/>
      <c r="I368" s="8"/>
      <c r="J368" s="8"/>
      <c r="K368" s="48"/>
      <c r="L368" s="49"/>
      <c r="M368" s="8"/>
      <c r="N368" s="8"/>
      <c r="O368" s="8"/>
      <c r="P368" s="7"/>
      <c r="Q368" s="8"/>
      <c r="R368" s="8"/>
      <c r="S368" s="8"/>
      <c r="T368" s="8"/>
      <c r="U368" s="8"/>
      <c r="V368" s="8"/>
      <c r="W368" s="8"/>
      <c r="X368" s="8"/>
      <c r="Y368" s="8"/>
      <c r="Z368" s="8"/>
      <c r="AA368" s="8"/>
      <c r="AB368" s="8"/>
    </row>
    <row r="369" spans="1:28" ht="14.25" customHeight="1" x14ac:dyDescent="0.25">
      <c r="A369" s="47"/>
      <c r="B369" s="8"/>
      <c r="C369" s="8"/>
      <c r="D369" s="48"/>
      <c r="E369" s="48"/>
      <c r="F369" s="8"/>
      <c r="G369" s="8"/>
      <c r="H369" s="8"/>
      <c r="I369" s="8"/>
      <c r="J369" s="8"/>
      <c r="K369" s="48"/>
      <c r="L369" s="49"/>
      <c r="M369" s="8"/>
      <c r="N369" s="8"/>
      <c r="O369" s="8"/>
      <c r="P369" s="7"/>
      <c r="Q369" s="8"/>
      <c r="R369" s="8"/>
      <c r="S369" s="8"/>
      <c r="T369" s="8"/>
      <c r="U369" s="8"/>
      <c r="V369" s="8"/>
      <c r="W369" s="8"/>
      <c r="X369" s="8"/>
      <c r="Y369" s="8"/>
      <c r="Z369" s="8"/>
      <c r="AA369" s="8"/>
      <c r="AB369" s="8"/>
    </row>
    <row r="370" spans="1:28" ht="14.25" customHeight="1" x14ac:dyDescent="0.25">
      <c r="A370" s="47"/>
      <c r="B370" s="8"/>
      <c r="C370" s="8"/>
      <c r="D370" s="48"/>
      <c r="E370" s="48"/>
      <c r="F370" s="8"/>
      <c r="G370" s="8"/>
      <c r="H370" s="8"/>
      <c r="I370" s="8"/>
      <c r="J370" s="8"/>
      <c r="K370" s="48"/>
      <c r="L370" s="49"/>
      <c r="M370" s="8"/>
      <c r="N370" s="8"/>
      <c r="O370" s="8"/>
      <c r="P370" s="7"/>
      <c r="Q370" s="8"/>
      <c r="R370" s="8"/>
      <c r="S370" s="8"/>
      <c r="T370" s="8"/>
      <c r="U370" s="8"/>
      <c r="V370" s="8"/>
      <c r="W370" s="8"/>
      <c r="X370" s="8"/>
      <c r="Y370" s="8"/>
      <c r="Z370" s="8"/>
      <c r="AA370" s="8"/>
      <c r="AB370" s="8"/>
    </row>
    <row r="371" spans="1:28" ht="14.25" customHeight="1" x14ac:dyDescent="0.25">
      <c r="A371" s="47"/>
      <c r="B371" s="8"/>
      <c r="C371" s="8"/>
      <c r="D371" s="48"/>
      <c r="E371" s="48"/>
      <c r="F371" s="8"/>
      <c r="G371" s="8"/>
      <c r="H371" s="8"/>
      <c r="I371" s="8"/>
      <c r="J371" s="8"/>
      <c r="K371" s="48"/>
      <c r="L371" s="49"/>
      <c r="M371" s="8"/>
      <c r="N371" s="8"/>
      <c r="O371" s="8"/>
      <c r="P371" s="7"/>
      <c r="Q371" s="8"/>
      <c r="R371" s="8"/>
      <c r="S371" s="8"/>
      <c r="T371" s="8"/>
      <c r="U371" s="8"/>
      <c r="V371" s="8"/>
      <c r="W371" s="8"/>
      <c r="X371" s="8"/>
      <c r="Y371" s="8"/>
      <c r="Z371" s="8"/>
      <c r="AA371" s="8"/>
      <c r="AB371" s="8"/>
    </row>
    <row r="372" spans="1:28" ht="14.25" customHeight="1" x14ac:dyDescent="0.25">
      <c r="A372" s="47"/>
      <c r="B372" s="8"/>
      <c r="C372" s="8"/>
      <c r="D372" s="48"/>
      <c r="E372" s="48"/>
      <c r="F372" s="8"/>
      <c r="G372" s="8"/>
      <c r="H372" s="8"/>
      <c r="I372" s="8"/>
      <c r="J372" s="8"/>
      <c r="K372" s="48"/>
      <c r="L372" s="49"/>
      <c r="M372" s="8"/>
      <c r="N372" s="8"/>
      <c r="O372" s="8"/>
      <c r="P372" s="7"/>
      <c r="Q372" s="8"/>
      <c r="R372" s="8"/>
      <c r="S372" s="8"/>
      <c r="T372" s="8"/>
      <c r="U372" s="8"/>
      <c r="V372" s="8"/>
      <c r="W372" s="8"/>
      <c r="X372" s="8"/>
      <c r="Y372" s="8"/>
      <c r="Z372" s="8"/>
      <c r="AA372" s="8"/>
      <c r="AB372" s="8"/>
    </row>
    <row r="373" spans="1:28" ht="14.25" customHeight="1" x14ac:dyDescent="0.25">
      <c r="A373" s="47"/>
      <c r="B373" s="8"/>
      <c r="C373" s="8"/>
      <c r="D373" s="48"/>
      <c r="E373" s="48"/>
      <c r="F373" s="8"/>
      <c r="G373" s="8"/>
      <c r="H373" s="8"/>
      <c r="I373" s="8"/>
      <c r="J373" s="8"/>
      <c r="K373" s="48"/>
      <c r="L373" s="49"/>
      <c r="M373" s="8"/>
      <c r="N373" s="8"/>
      <c r="O373" s="8"/>
      <c r="P373" s="7"/>
      <c r="Q373" s="8"/>
      <c r="R373" s="8"/>
      <c r="S373" s="8"/>
      <c r="T373" s="8"/>
      <c r="U373" s="8"/>
      <c r="V373" s="8"/>
      <c r="W373" s="8"/>
      <c r="X373" s="8"/>
      <c r="Y373" s="8"/>
      <c r="Z373" s="8"/>
      <c r="AA373" s="8"/>
      <c r="AB373" s="8"/>
    </row>
    <row r="374" spans="1:28" ht="14.25" customHeight="1" x14ac:dyDescent="0.25">
      <c r="A374" s="47"/>
      <c r="B374" s="8"/>
      <c r="C374" s="8"/>
      <c r="D374" s="48"/>
      <c r="E374" s="48"/>
      <c r="F374" s="8"/>
      <c r="G374" s="8"/>
      <c r="H374" s="8"/>
      <c r="I374" s="8"/>
      <c r="J374" s="8"/>
      <c r="K374" s="48"/>
      <c r="L374" s="49"/>
      <c r="M374" s="8"/>
      <c r="N374" s="8"/>
      <c r="O374" s="8"/>
      <c r="P374" s="7"/>
      <c r="Q374" s="8"/>
      <c r="R374" s="8"/>
      <c r="S374" s="8"/>
      <c r="T374" s="8"/>
      <c r="U374" s="8"/>
      <c r="V374" s="8"/>
      <c r="W374" s="8"/>
      <c r="X374" s="8"/>
      <c r="Y374" s="8"/>
      <c r="Z374" s="8"/>
      <c r="AA374" s="8"/>
      <c r="AB374" s="8"/>
    </row>
    <row r="375" spans="1:28" ht="14.25" customHeight="1" x14ac:dyDescent="0.25">
      <c r="A375" s="47"/>
      <c r="B375" s="8"/>
      <c r="C375" s="8"/>
      <c r="D375" s="48"/>
      <c r="E375" s="48"/>
      <c r="F375" s="8"/>
      <c r="G375" s="8"/>
      <c r="H375" s="8"/>
      <c r="I375" s="8"/>
      <c r="J375" s="8"/>
      <c r="K375" s="48"/>
      <c r="L375" s="49"/>
      <c r="M375" s="8"/>
      <c r="N375" s="8"/>
      <c r="O375" s="8"/>
      <c r="P375" s="7"/>
      <c r="Q375" s="8"/>
      <c r="R375" s="8"/>
      <c r="S375" s="8"/>
      <c r="T375" s="8"/>
      <c r="U375" s="8"/>
      <c r="V375" s="8"/>
      <c r="W375" s="8"/>
      <c r="X375" s="8"/>
      <c r="Y375" s="8"/>
      <c r="Z375" s="8"/>
      <c r="AA375" s="8"/>
      <c r="AB375" s="8"/>
    </row>
    <row r="376" spans="1:28" ht="14.25" customHeight="1" x14ac:dyDescent="0.25">
      <c r="A376" s="47"/>
      <c r="B376" s="8"/>
      <c r="C376" s="8"/>
      <c r="D376" s="48"/>
      <c r="E376" s="48"/>
      <c r="F376" s="8"/>
      <c r="G376" s="8"/>
      <c r="H376" s="8"/>
      <c r="I376" s="8"/>
      <c r="J376" s="8"/>
      <c r="K376" s="48"/>
      <c r="L376" s="49"/>
      <c r="M376" s="8"/>
      <c r="N376" s="8"/>
      <c r="O376" s="8"/>
      <c r="P376" s="7"/>
      <c r="Q376" s="8"/>
      <c r="R376" s="8"/>
      <c r="S376" s="8"/>
      <c r="T376" s="8"/>
      <c r="U376" s="8"/>
      <c r="V376" s="8"/>
      <c r="W376" s="8"/>
      <c r="X376" s="8"/>
      <c r="Y376" s="8"/>
      <c r="Z376" s="8"/>
      <c r="AA376" s="8"/>
      <c r="AB376" s="8"/>
    </row>
    <row r="377" spans="1:28" ht="14.25" customHeight="1" x14ac:dyDescent="0.25">
      <c r="A377" s="47"/>
      <c r="B377" s="8"/>
      <c r="C377" s="8"/>
      <c r="D377" s="48"/>
      <c r="E377" s="48"/>
      <c r="F377" s="8"/>
      <c r="G377" s="8"/>
      <c r="H377" s="8"/>
      <c r="I377" s="8"/>
      <c r="J377" s="8"/>
      <c r="K377" s="48"/>
      <c r="L377" s="49"/>
      <c r="M377" s="8"/>
      <c r="N377" s="8"/>
      <c r="O377" s="8"/>
      <c r="P377" s="7"/>
      <c r="Q377" s="8"/>
      <c r="R377" s="8"/>
      <c r="S377" s="8"/>
      <c r="T377" s="8"/>
      <c r="U377" s="8"/>
      <c r="V377" s="8"/>
      <c r="W377" s="8"/>
      <c r="X377" s="8"/>
      <c r="Y377" s="8"/>
      <c r="Z377" s="8"/>
      <c r="AA377" s="8"/>
      <c r="AB377" s="8"/>
    </row>
    <row r="378" spans="1:28" ht="14.25" customHeight="1" x14ac:dyDescent="0.25">
      <c r="A378" s="47"/>
      <c r="B378" s="8"/>
      <c r="C378" s="8"/>
      <c r="D378" s="48"/>
      <c r="E378" s="48"/>
      <c r="F378" s="8"/>
      <c r="G378" s="8"/>
      <c r="H378" s="8"/>
      <c r="I378" s="8"/>
      <c r="J378" s="8"/>
      <c r="K378" s="48"/>
      <c r="L378" s="49"/>
      <c r="M378" s="8"/>
      <c r="N378" s="8"/>
      <c r="O378" s="8"/>
      <c r="P378" s="7"/>
      <c r="Q378" s="8"/>
      <c r="R378" s="8"/>
      <c r="S378" s="8"/>
      <c r="T378" s="8"/>
      <c r="U378" s="8"/>
      <c r="V378" s="8"/>
      <c r="W378" s="8"/>
      <c r="X378" s="8"/>
      <c r="Y378" s="8"/>
      <c r="Z378" s="8"/>
      <c r="AA378" s="8"/>
      <c r="AB378" s="8"/>
    </row>
    <row r="379" spans="1:28" ht="14.25" customHeight="1" x14ac:dyDescent="0.25">
      <c r="A379" s="47"/>
      <c r="B379" s="8"/>
      <c r="C379" s="8"/>
      <c r="D379" s="48"/>
      <c r="E379" s="48"/>
      <c r="F379" s="8"/>
      <c r="G379" s="8"/>
      <c r="H379" s="8"/>
      <c r="I379" s="8"/>
      <c r="J379" s="8"/>
      <c r="K379" s="48"/>
      <c r="L379" s="49"/>
      <c r="M379" s="8"/>
      <c r="N379" s="8"/>
      <c r="O379" s="8"/>
      <c r="P379" s="7"/>
      <c r="Q379" s="8"/>
      <c r="R379" s="8"/>
      <c r="S379" s="8"/>
      <c r="T379" s="8"/>
      <c r="U379" s="8"/>
      <c r="V379" s="8"/>
      <c r="W379" s="8"/>
      <c r="X379" s="8"/>
      <c r="Y379" s="8"/>
      <c r="Z379" s="8"/>
      <c r="AA379" s="8"/>
      <c r="AB379" s="8"/>
    </row>
    <row r="380" spans="1:28" ht="14.25" customHeight="1" x14ac:dyDescent="0.25">
      <c r="A380" s="47"/>
      <c r="B380" s="8"/>
      <c r="C380" s="8"/>
      <c r="D380" s="48"/>
      <c r="E380" s="48"/>
      <c r="F380" s="8"/>
      <c r="G380" s="8"/>
      <c r="H380" s="8"/>
      <c r="I380" s="8"/>
      <c r="J380" s="8"/>
      <c r="K380" s="48"/>
      <c r="L380" s="49"/>
      <c r="M380" s="8"/>
      <c r="N380" s="8"/>
      <c r="O380" s="8"/>
      <c r="P380" s="7"/>
      <c r="Q380" s="8"/>
      <c r="R380" s="8"/>
      <c r="S380" s="8"/>
      <c r="T380" s="8"/>
      <c r="U380" s="8"/>
      <c r="V380" s="8"/>
      <c r="W380" s="8"/>
      <c r="X380" s="8"/>
      <c r="Y380" s="8"/>
      <c r="Z380" s="8"/>
      <c r="AA380" s="8"/>
      <c r="AB380" s="8"/>
    </row>
    <row r="381" spans="1:28" ht="14.25" customHeight="1" x14ac:dyDescent="0.25">
      <c r="A381" s="47"/>
      <c r="B381" s="8"/>
      <c r="C381" s="8"/>
      <c r="D381" s="48"/>
      <c r="E381" s="48"/>
      <c r="F381" s="8"/>
      <c r="G381" s="8"/>
      <c r="H381" s="8"/>
      <c r="I381" s="8"/>
      <c r="J381" s="8"/>
      <c r="K381" s="48"/>
      <c r="L381" s="49"/>
      <c r="M381" s="8"/>
      <c r="N381" s="8"/>
      <c r="O381" s="8"/>
      <c r="P381" s="7"/>
      <c r="Q381" s="8"/>
      <c r="R381" s="8"/>
      <c r="S381" s="8"/>
      <c r="T381" s="8"/>
      <c r="U381" s="8"/>
      <c r="V381" s="8"/>
      <c r="W381" s="8"/>
      <c r="X381" s="8"/>
      <c r="Y381" s="8"/>
      <c r="Z381" s="8"/>
      <c r="AA381" s="8"/>
      <c r="AB381" s="8"/>
    </row>
    <row r="382" spans="1:28" ht="14.25" customHeight="1" x14ac:dyDescent="0.25">
      <c r="A382" s="47"/>
      <c r="B382" s="8"/>
      <c r="C382" s="8"/>
      <c r="D382" s="48"/>
      <c r="E382" s="48"/>
      <c r="F382" s="8"/>
      <c r="G382" s="8"/>
      <c r="H382" s="8"/>
      <c r="I382" s="8"/>
      <c r="J382" s="8"/>
      <c r="K382" s="48"/>
      <c r="L382" s="49"/>
      <c r="M382" s="8"/>
      <c r="N382" s="8"/>
      <c r="O382" s="8"/>
      <c r="P382" s="7"/>
      <c r="Q382" s="8"/>
      <c r="R382" s="8"/>
      <c r="S382" s="8"/>
      <c r="T382" s="8"/>
      <c r="U382" s="8"/>
      <c r="V382" s="8"/>
      <c r="W382" s="8"/>
      <c r="X382" s="8"/>
      <c r="Y382" s="8"/>
      <c r="Z382" s="8"/>
      <c r="AA382" s="8"/>
      <c r="AB382" s="8"/>
    </row>
    <row r="383" spans="1:28" ht="14.25" customHeight="1" x14ac:dyDescent="0.25">
      <c r="A383" s="47"/>
      <c r="B383" s="8"/>
      <c r="C383" s="8"/>
      <c r="D383" s="48"/>
      <c r="E383" s="48"/>
      <c r="F383" s="8"/>
      <c r="G383" s="8"/>
      <c r="H383" s="8"/>
      <c r="I383" s="8"/>
      <c r="J383" s="8"/>
      <c r="K383" s="48"/>
      <c r="L383" s="49"/>
      <c r="M383" s="8"/>
      <c r="N383" s="8"/>
      <c r="O383" s="8"/>
      <c r="P383" s="7"/>
      <c r="Q383" s="8"/>
      <c r="R383" s="8"/>
      <c r="S383" s="8"/>
      <c r="T383" s="8"/>
      <c r="U383" s="8"/>
      <c r="V383" s="8"/>
      <c r="W383" s="8"/>
      <c r="X383" s="8"/>
      <c r="Y383" s="8"/>
      <c r="Z383" s="8"/>
      <c r="AA383" s="8"/>
      <c r="AB383" s="8"/>
    </row>
    <row r="384" spans="1:28" ht="14.25" customHeight="1" x14ac:dyDescent="0.25">
      <c r="A384" s="47"/>
      <c r="B384" s="8"/>
      <c r="C384" s="8"/>
      <c r="D384" s="48"/>
      <c r="E384" s="48"/>
      <c r="F384" s="8"/>
      <c r="G384" s="8"/>
      <c r="H384" s="8"/>
      <c r="I384" s="8"/>
      <c r="J384" s="8"/>
      <c r="K384" s="48"/>
      <c r="L384" s="49"/>
      <c r="M384" s="8"/>
      <c r="N384" s="8"/>
      <c r="O384" s="8"/>
      <c r="P384" s="7"/>
      <c r="Q384" s="8"/>
      <c r="R384" s="8"/>
      <c r="S384" s="8"/>
      <c r="T384" s="8"/>
      <c r="U384" s="8"/>
      <c r="V384" s="8"/>
      <c r="W384" s="8"/>
      <c r="X384" s="8"/>
      <c r="Y384" s="8"/>
      <c r="Z384" s="8"/>
      <c r="AA384" s="8"/>
      <c r="AB384" s="8"/>
    </row>
    <row r="385" spans="1:28" ht="14.25" customHeight="1" x14ac:dyDescent="0.25">
      <c r="A385" s="47"/>
      <c r="B385" s="8"/>
      <c r="C385" s="8"/>
      <c r="D385" s="48"/>
      <c r="E385" s="48"/>
      <c r="F385" s="8"/>
      <c r="G385" s="8"/>
      <c r="H385" s="8"/>
      <c r="I385" s="8"/>
      <c r="J385" s="8"/>
      <c r="K385" s="48"/>
      <c r="L385" s="49"/>
      <c r="M385" s="8"/>
      <c r="N385" s="8"/>
      <c r="O385" s="8"/>
      <c r="P385" s="7"/>
      <c r="Q385" s="8"/>
      <c r="R385" s="8"/>
      <c r="S385" s="8"/>
      <c r="T385" s="8"/>
      <c r="U385" s="8"/>
      <c r="V385" s="8"/>
      <c r="W385" s="8"/>
      <c r="X385" s="8"/>
      <c r="Y385" s="8"/>
      <c r="Z385" s="8"/>
      <c r="AA385" s="8"/>
      <c r="AB385" s="8"/>
    </row>
    <row r="386" spans="1:28" ht="14.25" customHeight="1" x14ac:dyDescent="0.25">
      <c r="A386" s="47"/>
      <c r="B386" s="8"/>
      <c r="C386" s="8"/>
      <c r="D386" s="48"/>
      <c r="E386" s="48"/>
      <c r="F386" s="8"/>
      <c r="G386" s="8"/>
      <c r="H386" s="8"/>
      <c r="I386" s="8"/>
      <c r="J386" s="8"/>
      <c r="K386" s="48"/>
      <c r="L386" s="49"/>
      <c r="M386" s="8"/>
      <c r="N386" s="8"/>
      <c r="O386" s="8"/>
      <c r="P386" s="7"/>
      <c r="Q386" s="8"/>
      <c r="R386" s="8"/>
      <c r="S386" s="8"/>
      <c r="T386" s="8"/>
      <c r="U386" s="8"/>
      <c r="V386" s="8"/>
      <c r="W386" s="8"/>
      <c r="X386" s="8"/>
      <c r="Y386" s="8"/>
      <c r="Z386" s="8"/>
      <c r="AA386" s="8"/>
      <c r="AB386" s="8"/>
    </row>
    <row r="387" spans="1:28" ht="14.25" customHeight="1" x14ac:dyDescent="0.25">
      <c r="A387" s="47"/>
      <c r="B387" s="8"/>
      <c r="C387" s="8"/>
      <c r="D387" s="48"/>
      <c r="E387" s="48"/>
      <c r="F387" s="8"/>
      <c r="G387" s="8"/>
      <c r="H387" s="8"/>
      <c r="I387" s="8"/>
      <c r="J387" s="8"/>
      <c r="K387" s="48"/>
      <c r="L387" s="49"/>
      <c r="M387" s="8"/>
      <c r="N387" s="8"/>
      <c r="O387" s="8"/>
      <c r="P387" s="7"/>
      <c r="Q387" s="8"/>
      <c r="R387" s="8"/>
      <c r="S387" s="8"/>
      <c r="T387" s="8"/>
      <c r="U387" s="8"/>
      <c r="V387" s="8"/>
      <c r="W387" s="8"/>
      <c r="X387" s="8"/>
      <c r="Y387" s="8"/>
      <c r="Z387" s="8"/>
      <c r="AA387" s="8"/>
      <c r="AB387" s="8"/>
    </row>
    <row r="388" spans="1:28" ht="14.25" customHeight="1" x14ac:dyDescent="0.25">
      <c r="A388" s="47"/>
      <c r="B388" s="8"/>
      <c r="C388" s="8"/>
      <c r="D388" s="48"/>
      <c r="E388" s="48"/>
      <c r="F388" s="8"/>
      <c r="G388" s="8"/>
      <c r="H388" s="8"/>
      <c r="I388" s="8"/>
      <c r="J388" s="8"/>
      <c r="K388" s="48"/>
      <c r="L388" s="49"/>
      <c r="M388" s="8"/>
      <c r="N388" s="8"/>
      <c r="O388" s="8"/>
      <c r="P388" s="7"/>
      <c r="Q388" s="8"/>
      <c r="R388" s="8"/>
      <c r="S388" s="8"/>
      <c r="T388" s="8"/>
      <c r="U388" s="8"/>
      <c r="V388" s="8"/>
      <c r="W388" s="8"/>
      <c r="X388" s="8"/>
      <c r="Y388" s="8"/>
      <c r="Z388" s="8"/>
      <c r="AA388" s="8"/>
      <c r="AB388" s="8"/>
    </row>
    <row r="389" spans="1:28" ht="14.25" customHeight="1" x14ac:dyDescent="0.25">
      <c r="A389" s="47"/>
      <c r="B389" s="8"/>
      <c r="C389" s="8"/>
      <c r="D389" s="48"/>
      <c r="E389" s="48"/>
      <c r="F389" s="8"/>
      <c r="G389" s="8"/>
      <c r="H389" s="8"/>
      <c r="I389" s="8"/>
      <c r="J389" s="8"/>
      <c r="K389" s="48"/>
      <c r="L389" s="49"/>
      <c r="M389" s="8"/>
      <c r="N389" s="8"/>
      <c r="O389" s="8"/>
      <c r="P389" s="7"/>
      <c r="Q389" s="8"/>
      <c r="R389" s="8"/>
      <c r="S389" s="8"/>
      <c r="T389" s="8"/>
      <c r="U389" s="8"/>
      <c r="V389" s="8"/>
      <c r="W389" s="8"/>
      <c r="X389" s="8"/>
      <c r="Y389" s="8"/>
      <c r="Z389" s="8"/>
      <c r="AA389" s="8"/>
      <c r="AB389" s="8"/>
    </row>
    <row r="390" spans="1:28" ht="14.25" customHeight="1" x14ac:dyDescent="0.25">
      <c r="A390" s="47"/>
      <c r="B390" s="8"/>
      <c r="C390" s="8"/>
      <c r="D390" s="48"/>
      <c r="E390" s="48"/>
      <c r="F390" s="8"/>
      <c r="G390" s="8"/>
      <c r="H390" s="8"/>
      <c r="I390" s="8"/>
      <c r="J390" s="8"/>
      <c r="K390" s="48"/>
      <c r="L390" s="49"/>
      <c r="M390" s="8"/>
      <c r="N390" s="8"/>
      <c r="O390" s="8"/>
      <c r="P390" s="7"/>
      <c r="Q390" s="8"/>
      <c r="R390" s="8"/>
      <c r="S390" s="8"/>
      <c r="T390" s="8"/>
      <c r="U390" s="8"/>
      <c r="V390" s="8"/>
      <c r="W390" s="8"/>
      <c r="X390" s="8"/>
      <c r="Y390" s="8"/>
      <c r="Z390" s="8"/>
      <c r="AA390" s="8"/>
      <c r="AB390" s="8"/>
    </row>
    <row r="391" spans="1:28" ht="14.25" customHeight="1" x14ac:dyDescent="0.25">
      <c r="A391" s="47"/>
      <c r="B391" s="8"/>
      <c r="C391" s="8"/>
      <c r="D391" s="48"/>
      <c r="E391" s="48"/>
      <c r="F391" s="8"/>
      <c r="G391" s="8"/>
      <c r="H391" s="8"/>
      <c r="I391" s="8"/>
      <c r="J391" s="8"/>
      <c r="K391" s="48"/>
      <c r="L391" s="49"/>
      <c r="M391" s="8"/>
      <c r="N391" s="8"/>
      <c r="O391" s="8"/>
      <c r="P391" s="7"/>
      <c r="Q391" s="8"/>
      <c r="R391" s="8"/>
      <c r="S391" s="8"/>
      <c r="T391" s="8"/>
      <c r="U391" s="8"/>
      <c r="V391" s="8"/>
      <c r="W391" s="8"/>
      <c r="X391" s="8"/>
      <c r="Y391" s="8"/>
      <c r="Z391" s="8"/>
      <c r="AA391" s="8"/>
      <c r="AB391" s="8"/>
    </row>
    <row r="392" spans="1:28" ht="14.25" customHeight="1" x14ac:dyDescent="0.25">
      <c r="A392" s="47"/>
      <c r="B392" s="8"/>
      <c r="C392" s="8"/>
      <c r="D392" s="48"/>
      <c r="E392" s="48"/>
      <c r="F392" s="8"/>
      <c r="G392" s="8"/>
      <c r="H392" s="8"/>
      <c r="I392" s="8"/>
      <c r="J392" s="8"/>
      <c r="K392" s="48"/>
      <c r="L392" s="49"/>
      <c r="M392" s="8"/>
      <c r="N392" s="8"/>
      <c r="O392" s="8"/>
      <c r="P392" s="7"/>
      <c r="Q392" s="8"/>
      <c r="R392" s="8"/>
      <c r="S392" s="8"/>
      <c r="T392" s="8"/>
      <c r="U392" s="8"/>
      <c r="V392" s="8"/>
      <c r="W392" s="8"/>
      <c r="X392" s="8"/>
      <c r="Y392" s="8"/>
      <c r="Z392" s="8"/>
      <c r="AA392" s="8"/>
      <c r="AB392" s="8"/>
    </row>
    <row r="393" spans="1:28" ht="14.25" customHeight="1" x14ac:dyDescent="0.25">
      <c r="A393" s="47"/>
      <c r="B393" s="8"/>
      <c r="C393" s="8"/>
      <c r="D393" s="48"/>
      <c r="E393" s="48"/>
      <c r="F393" s="8"/>
      <c r="G393" s="8"/>
      <c r="H393" s="8"/>
      <c r="I393" s="8"/>
      <c r="J393" s="8"/>
      <c r="K393" s="48"/>
      <c r="L393" s="49"/>
      <c r="M393" s="8"/>
      <c r="N393" s="8"/>
      <c r="O393" s="8"/>
      <c r="P393" s="7"/>
      <c r="Q393" s="8"/>
      <c r="R393" s="8"/>
      <c r="S393" s="8"/>
      <c r="T393" s="8"/>
      <c r="U393" s="8"/>
      <c r="V393" s="8"/>
      <c r="W393" s="8"/>
      <c r="X393" s="8"/>
      <c r="Y393" s="8"/>
      <c r="Z393" s="8"/>
      <c r="AA393" s="8"/>
      <c r="AB393" s="8"/>
    </row>
    <row r="394" spans="1:28" ht="14.25" customHeight="1" x14ac:dyDescent="0.25">
      <c r="A394" s="47"/>
      <c r="B394" s="8"/>
      <c r="C394" s="8"/>
      <c r="D394" s="48"/>
      <c r="E394" s="48"/>
      <c r="F394" s="8"/>
      <c r="G394" s="8"/>
      <c r="H394" s="8"/>
      <c r="I394" s="8"/>
      <c r="J394" s="8"/>
      <c r="K394" s="48"/>
      <c r="L394" s="49"/>
      <c r="M394" s="8"/>
      <c r="N394" s="8"/>
      <c r="O394" s="8"/>
      <c r="P394" s="7"/>
      <c r="Q394" s="8"/>
      <c r="R394" s="8"/>
      <c r="S394" s="8"/>
      <c r="T394" s="8"/>
      <c r="U394" s="8"/>
      <c r="V394" s="8"/>
      <c r="W394" s="8"/>
      <c r="X394" s="8"/>
      <c r="Y394" s="8"/>
      <c r="Z394" s="8"/>
      <c r="AA394" s="8"/>
      <c r="AB394" s="8"/>
    </row>
    <row r="395" spans="1:28" ht="14.25" customHeight="1" x14ac:dyDescent="0.25">
      <c r="A395" s="47"/>
      <c r="B395" s="8"/>
      <c r="C395" s="8"/>
      <c r="D395" s="48"/>
      <c r="E395" s="48"/>
      <c r="F395" s="8"/>
      <c r="G395" s="8"/>
      <c r="H395" s="8"/>
      <c r="I395" s="8"/>
      <c r="J395" s="8"/>
      <c r="K395" s="48"/>
      <c r="L395" s="49"/>
      <c r="M395" s="8"/>
      <c r="N395" s="8"/>
      <c r="O395" s="8"/>
      <c r="P395" s="7"/>
      <c r="Q395" s="8"/>
      <c r="R395" s="8"/>
      <c r="S395" s="8"/>
      <c r="T395" s="8"/>
      <c r="U395" s="8"/>
      <c r="V395" s="8"/>
      <c r="W395" s="8"/>
      <c r="X395" s="8"/>
      <c r="Y395" s="8"/>
      <c r="Z395" s="8"/>
      <c r="AA395" s="8"/>
      <c r="AB395" s="8"/>
    </row>
    <row r="396" spans="1:28" ht="14.25" customHeight="1" x14ac:dyDescent="0.25">
      <c r="A396" s="47"/>
      <c r="B396" s="8"/>
      <c r="C396" s="8"/>
      <c r="D396" s="48"/>
      <c r="E396" s="48"/>
      <c r="F396" s="8"/>
      <c r="G396" s="8"/>
      <c r="H396" s="8"/>
      <c r="I396" s="8"/>
      <c r="J396" s="8"/>
      <c r="K396" s="48"/>
      <c r="L396" s="49"/>
      <c r="M396" s="8"/>
      <c r="N396" s="8"/>
      <c r="O396" s="8"/>
      <c r="P396" s="7"/>
      <c r="Q396" s="8"/>
      <c r="R396" s="8"/>
      <c r="S396" s="8"/>
      <c r="T396" s="8"/>
      <c r="U396" s="8"/>
      <c r="V396" s="8"/>
      <c r="W396" s="8"/>
      <c r="X396" s="8"/>
      <c r="Y396" s="8"/>
      <c r="Z396" s="8"/>
      <c r="AA396" s="8"/>
      <c r="AB396" s="8"/>
    </row>
    <row r="397" spans="1:28" ht="14.25" customHeight="1" x14ac:dyDescent="0.25">
      <c r="A397" s="47"/>
      <c r="B397" s="8"/>
      <c r="C397" s="8"/>
      <c r="D397" s="48"/>
      <c r="E397" s="48"/>
      <c r="F397" s="8"/>
      <c r="G397" s="8"/>
      <c r="H397" s="8"/>
      <c r="I397" s="8"/>
      <c r="J397" s="8"/>
      <c r="K397" s="48"/>
      <c r="L397" s="49"/>
      <c r="M397" s="8"/>
      <c r="N397" s="8"/>
      <c r="O397" s="8"/>
      <c r="P397" s="7"/>
      <c r="Q397" s="8"/>
      <c r="R397" s="8"/>
      <c r="S397" s="8"/>
      <c r="T397" s="8"/>
      <c r="U397" s="8"/>
      <c r="V397" s="8"/>
      <c r="W397" s="8"/>
      <c r="X397" s="8"/>
      <c r="Y397" s="8"/>
      <c r="Z397" s="8"/>
      <c r="AA397" s="8"/>
      <c r="AB397" s="8"/>
    </row>
    <row r="398" spans="1:28" ht="15.75" customHeight="1" x14ac:dyDescent="0.25">
      <c r="A398" s="50"/>
      <c r="D398" s="51"/>
      <c r="E398" s="51"/>
      <c r="K398" s="51"/>
      <c r="L398" s="52"/>
      <c r="P398" s="41"/>
    </row>
    <row r="399" spans="1:28" ht="15.75" customHeight="1" x14ac:dyDescent="0.25">
      <c r="A399" s="50"/>
      <c r="D399" s="51"/>
      <c r="E399" s="51"/>
      <c r="K399" s="51"/>
      <c r="L399" s="52"/>
      <c r="P399" s="41"/>
    </row>
    <row r="400" spans="1:28" ht="15.75" customHeight="1" x14ac:dyDescent="0.25">
      <c r="A400" s="50"/>
      <c r="D400" s="51"/>
      <c r="E400" s="51"/>
      <c r="K400" s="51"/>
      <c r="L400" s="52"/>
      <c r="P400" s="41"/>
    </row>
    <row r="401" spans="1:16" ht="15.75" customHeight="1" x14ac:dyDescent="0.25">
      <c r="A401" s="50"/>
      <c r="D401" s="51"/>
      <c r="E401" s="51"/>
      <c r="K401" s="51"/>
      <c r="L401" s="52"/>
      <c r="P401" s="41"/>
    </row>
    <row r="402" spans="1:16" ht="15.75" customHeight="1" x14ac:dyDescent="0.25">
      <c r="A402" s="50"/>
      <c r="D402" s="51"/>
      <c r="E402" s="51"/>
      <c r="K402" s="51"/>
      <c r="L402" s="52"/>
      <c r="P402" s="41"/>
    </row>
    <row r="403" spans="1:16" ht="15.75" customHeight="1" x14ac:dyDescent="0.25">
      <c r="A403" s="50"/>
      <c r="D403" s="51"/>
      <c r="E403" s="51"/>
      <c r="K403" s="51"/>
      <c r="L403" s="52"/>
      <c r="P403" s="41"/>
    </row>
    <row r="404" spans="1:16" ht="15.75" customHeight="1" x14ac:dyDescent="0.25">
      <c r="A404" s="50"/>
      <c r="D404" s="51"/>
      <c r="E404" s="51"/>
      <c r="K404" s="51"/>
      <c r="L404" s="52"/>
      <c r="P404" s="41"/>
    </row>
    <row r="405" spans="1:16" ht="15.75" customHeight="1" x14ac:dyDescent="0.25">
      <c r="A405" s="50"/>
      <c r="D405" s="51"/>
      <c r="E405" s="51"/>
      <c r="K405" s="51"/>
      <c r="L405" s="52"/>
      <c r="P405" s="41"/>
    </row>
    <row r="406" spans="1:16" ht="15.75" customHeight="1" x14ac:dyDescent="0.25">
      <c r="A406" s="50"/>
      <c r="D406" s="51"/>
      <c r="E406" s="51"/>
      <c r="K406" s="51"/>
      <c r="L406" s="52"/>
      <c r="P406" s="41"/>
    </row>
    <row r="407" spans="1:16" ht="15.75" customHeight="1" x14ac:dyDescent="0.25">
      <c r="A407" s="50"/>
      <c r="D407" s="51"/>
      <c r="E407" s="51"/>
      <c r="K407" s="51"/>
      <c r="L407" s="52"/>
      <c r="P407" s="41"/>
    </row>
    <row r="408" spans="1:16" ht="15.75" customHeight="1" x14ac:dyDescent="0.25">
      <c r="A408" s="50"/>
      <c r="D408" s="51"/>
      <c r="E408" s="51"/>
      <c r="K408" s="51"/>
      <c r="L408" s="52"/>
      <c r="P408" s="41"/>
    </row>
    <row r="409" spans="1:16" ht="15.75" customHeight="1" x14ac:dyDescent="0.25">
      <c r="A409" s="50"/>
      <c r="D409" s="51"/>
      <c r="E409" s="51"/>
      <c r="K409" s="51"/>
      <c r="L409" s="52"/>
      <c r="P409" s="41"/>
    </row>
    <row r="410" spans="1:16" ht="15.75" customHeight="1" x14ac:dyDescent="0.25">
      <c r="A410" s="50"/>
      <c r="D410" s="51"/>
      <c r="E410" s="51"/>
      <c r="K410" s="51"/>
      <c r="L410" s="52"/>
      <c r="P410" s="41"/>
    </row>
    <row r="411" spans="1:16" ht="15.75" customHeight="1" x14ac:dyDescent="0.25">
      <c r="A411" s="50"/>
      <c r="D411" s="51"/>
      <c r="E411" s="51"/>
      <c r="K411" s="51"/>
      <c r="L411" s="52"/>
      <c r="P411" s="41"/>
    </row>
    <row r="412" spans="1:16" ht="15.75" customHeight="1" x14ac:dyDescent="0.25">
      <c r="A412" s="50"/>
      <c r="D412" s="51"/>
      <c r="E412" s="51"/>
      <c r="K412" s="51"/>
      <c r="L412" s="52"/>
      <c r="P412" s="41"/>
    </row>
    <row r="413" spans="1:16" ht="15.75" customHeight="1" x14ac:dyDescent="0.25">
      <c r="A413" s="50"/>
      <c r="D413" s="51"/>
      <c r="E413" s="51"/>
      <c r="K413" s="51"/>
      <c r="L413" s="52"/>
      <c r="P413" s="41"/>
    </row>
    <row r="414" spans="1:16" ht="15.75" customHeight="1" x14ac:dyDescent="0.25">
      <c r="A414" s="50"/>
      <c r="D414" s="51"/>
      <c r="E414" s="51"/>
      <c r="K414" s="51"/>
      <c r="L414" s="52"/>
      <c r="P414" s="41"/>
    </row>
    <row r="415" spans="1:16" ht="15.75" customHeight="1" x14ac:dyDescent="0.25">
      <c r="A415" s="50"/>
      <c r="D415" s="51"/>
      <c r="E415" s="51"/>
      <c r="K415" s="51"/>
      <c r="L415" s="52"/>
      <c r="P415" s="41"/>
    </row>
    <row r="416" spans="1:16" ht="15.75" customHeight="1" x14ac:dyDescent="0.25">
      <c r="A416" s="50"/>
      <c r="D416" s="51"/>
      <c r="E416" s="51"/>
      <c r="K416" s="51"/>
      <c r="L416" s="52"/>
      <c r="P416" s="41"/>
    </row>
    <row r="417" spans="1:16" ht="15.75" customHeight="1" x14ac:dyDescent="0.25">
      <c r="A417" s="50"/>
      <c r="D417" s="51"/>
      <c r="E417" s="51"/>
      <c r="K417" s="51"/>
      <c r="L417" s="52"/>
      <c r="P417" s="41"/>
    </row>
    <row r="418" spans="1:16" ht="15.75" customHeight="1" x14ac:dyDescent="0.25">
      <c r="A418" s="50"/>
      <c r="D418" s="51"/>
      <c r="E418" s="51"/>
      <c r="K418" s="51"/>
      <c r="L418" s="52"/>
      <c r="P418" s="41"/>
    </row>
    <row r="419" spans="1:16" ht="15.75" customHeight="1" x14ac:dyDescent="0.25">
      <c r="A419" s="50"/>
      <c r="D419" s="51"/>
      <c r="E419" s="51"/>
      <c r="K419" s="51"/>
      <c r="L419" s="52"/>
      <c r="P419" s="41"/>
    </row>
    <row r="420" spans="1:16" ht="15.75" customHeight="1" x14ac:dyDescent="0.25">
      <c r="A420" s="50"/>
      <c r="D420" s="51"/>
      <c r="E420" s="51"/>
      <c r="K420" s="51"/>
      <c r="L420" s="52"/>
      <c r="P420" s="41"/>
    </row>
    <row r="421" spans="1:16" ht="15.75" customHeight="1" x14ac:dyDescent="0.25">
      <c r="A421" s="50"/>
      <c r="D421" s="51"/>
      <c r="E421" s="51"/>
      <c r="K421" s="51"/>
      <c r="L421" s="52"/>
      <c r="P421" s="41"/>
    </row>
    <row r="422" spans="1:16" ht="15.75" customHeight="1" x14ac:dyDescent="0.25">
      <c r="A422" s="50"/>
      <c r="D422" s="51"/>
      <c r="E422" s="51"/>
      <c r="K422" s="51"/>
      <c r="L422" s="52"/>
      <c r="P422" s="41"/>
    </row>
    <row r="423" spans="1:16" ht="15.75" customHeight="1" x14ac:dyDescent="0.25">
      <c r="A423" s="50"/>
      <c r="D423" s="51"/>
      <c r="E423" s="51"/>
      <c r="K423" s="51"/>
      <c r="L423" s="52"/>
      <c r="P423" s="41"/>
    </row>
    <row r="424" spans="1:16" ht="15.75" customHeight="1" x14ac:dyDescent="0.25">
      <c r="A424" s="50"/>
      <c r="D424" s="51"/>
      <c r="E424" s="51"/>
      <c r="K424" s="51"/>
      <c r="L424" s="52"/>
      <c r="P424" s="41"/>
    </row>
    <row r="425" spans="1:16" ht="15.75" customHeight="1" x14ac:dyDescent="0.25">
      <c r="A425" s="50"/>
      <c r="D425" s="51"/>
      <c r="E425" s="51"/>
      <c r="K425" s="51"/>
      <c r="L425" s="52"/>
      <c r="P425" s="41"/>
    </row>
    <row r="426" spans="1:16" ht="15.75" customHeight="1" x14ac:dyDescent="0.25">
      <c r="A426" s="50"/>
      <c r="D426" s="51"/>
      <c r="E426" s="51"/>
      <c r="K426" s="51"/>
      <c r="L426" s="52"/>
      <c r="P426" s="41"/>
    </row>
    <row r="427" spans="1:16" ht="15.75" customHeight="1" x14ac:dyDescent="0.25">
      <c r="A427" s="50"/>
      <c r="D427" s="51"/>
      <c r="E427" s="51"/>
      <c r="K427" s="51"/>
      <c r="L427" s="52"/>
      <c r="P427" s="41"/>
    </row>
    <row r="428" spans="1:16" ht="15.75" customHeight="1" x14ac:dyDescent="0.25">
      <c r="A428" s="50"/>
      <c r="D428" s="51"/>
      <c r="E428" s="51"/>
      <c r="K428" s="51"/>
      <c r="L428" s="52"/>
      <c r="P428" s="41"/>
    </row>
    <row r="429" spans="1:16" ht="15.75" customHeight="1" x14ac:dyDescent="0.25">
      <c r="A429" s="50"/>
      <c r="D429" s="51"/>
      <c r="E429" s="51"/>
      <c r="K429" s="51"/>
      <c r="L429" s="52"/>
      <c r="P429" s="41"/>
    </row>
    <row r="430" spans="1:16" ht="15.75" customHeight="1" x14ac:dyDescent="0.25">
      <c r="A430" s="50"/>
      <c r="D430" s="51"/>
      <c r="E430" s="51"/>
      <c r="K430" s="51"/>
      <c r="L430" s="52"/>
      <c r="P430" s="41"/>
    </row>
    <row r="431" spans="1:16" ht="15.75" customHeight="1" x14ac:dyDescent="0.25">
      <c r="A431" s="50"/>
      <c r="D431" s="51"/>
      <c r="E431" s="51"/>
      <c r="K431" s="51"/>
      <c r="L431" s="52"/>
      <c r="P431" s="41"/>
    </row>
    <row r="432" spans="1:16" ht="15.75" customHeight="1" x14ac:dyDescent="0.25">
      <c r="A432" s="50"/>
      <c r="D432" s="51"/>
      <c r="E432" s="51"/>
      <c r="K432" s="51"/>
      <c r="L432" s="52"/>
      <c r="P432" s="41"/>
    </row>
    <row r="433" spans="1:16" ht="15.75" customHeight="1" x14ac:dyDescent="0.25">
      <c r="A433" s="50"/>
      <c r="D433" s="51"/>
      <c r="E433" s="51"/>
      <c r="K433" s="51"/>
      <c r="L433" s="52"/>
      <c r="P433" s="41"/>
    </row>
    <row r="434" spans="1:16" ht="15.75" customHeight="1" x14ac:dyDescent="0.25">
      <c r="A434" s="50"/>
      <c r="D434" s="51"/>
      <c r="E434" s="51"/>
      <c r="K434" s="51"/>
      <c r="L434" s="52"/>
      <c r="P434" s="41"/>
    </row>
    <row r="435" spans="1:16" ht="15.75" customHeight="1" x14ac:dyDescent="0.25">
      <c r="A435" s="50"/>
      <c r="D435" s="51"/>
      <c r="E435" s="51"/>
      <c r="K435" s="51"/>
      <c r="L435" s="52"/>
      <c r="P435" s="41"/>
    </row>
    <row r="436" spans="1:16" ht="15.75" customHeight="1" x14ac:dyDescent="0.25">
      <c r="A436" s="50"/>
      <c r="D436" s="51"/>
      <c r="E436" s="51"/>
      <c r="K436" s="51"/>
      <c r="L436" s="52"/>
      <c r="P436" s="41"/>
    </row>
    <row r="437" spans="1:16" ht="15.75" customHeight="1" x14ac:dyDescent="0.25">
      <c r="A437" s="50"/>
      <c r="D437" s="51"/>
      <c r="E437" s="51"/>
      <c r="K437" s="51"/>
      <c r="L437" s="52"/>
      <c r="P437" s="41"/>
    </row>
    <row r="438" spans="1:16" ht="15.75" customHeight="1" x14ac:dyDescent="0.25">
      <c r="A438" s="50"/>
      <c r="D438" s="51"/>
      <c r="E438" s="51"/>
      <c r="K438" s="51"/>
      <c r="L438" s="52"/>
      <c r="P438" s="41"/>
    </row>
    <row r="439" spans="1:16" ht="15.75" customHeight="1" x14ac:dyDescent="0.25">
      <c r="A439" s="50"/>
      <c r="D439" s="51"/>
      <c r="E439" s="51"/>
      <c r="K439" s="51"/>
      <c r="L439" s="52"/>
      <c r="P439" s="41"/>
    </row>
    <row r="440" spans="1:16" ht="15.75" customHeight="1" x14ac:dyDescent="0.25">
      <c r="A440" s="50"/>
      <c r="D440" s="51"/>
      <c r="E440" s="51"/>
      <c r="K440" s="51"/>
      <c r="L440" s="52"/>
      <c r="P440" s="41"/>
    </row>
    <row r="441" spans="1:16" ht="15.75" customHeight="1" x14ac:dyDescent="0.25">
      <c r="A441" s="50"/>
      <c r="D441" s="51"/>
      <c r="E441" s="51"/>
      <c r="K441" s="51"/>
      <c r="L441" s="52"/>
      <c r="P441" s="41"/>
    </row>
    <row r="442" spans="1:16" ht="15.75" customHeight="1" x14ac:dyDescent="0.25">
      <c r="A442" s="50"/>
      <c r="D442" s="51"/>
      <c r="E442" s="51"/>
      <c r="K442" s="51"/>
      <c r="L442" s="52"/>
      <c r="P442" s="41"/>
    </row>
    <row r="443" spans="1:16" ht="15.75" customHeight="1" x14ac:dyDescent="0.25">
      <c r="A443" s="50"/>
      <c r="D443" s="51"/>
      <c r="E443" s="51"/>
      <c r="K443" s="51"/>
      <c r="L443" s="52"/>
      <c r="P443" s="41"/>
    </row>
    <row r="444" spans="1:16" ht="15.75" customHeight="1" x14ac:dyDescent="0.25">
      <c r="A444" s="50"/>
      <c r="D444" s="51"/>
      <c r="E444" s="51"/>
      <c r="K444" s="51"/>
      <c r="L444" s="52"/>
      <c r="P444" s="41"/>
    </row>
    <row r="445" spans="1:16" ht="15.75" customHeight="1" x14ac:dyDescent="0.25">
      <c r="A445" s="50"/>
      <c r="D445" s="51"/>
      <c r="E445" s="51"/>
      <c r="K445" s="51"/>
      <c r="L445" s="52"/>
      <c r="P445" s="41"/>
    </row>
    <row r="446" spans="1:16" ht="15.75" customHeight="1" x14ac:dyDescent="0.25">
      <c r="A446" s="50"/>
      <c r="D446" s="51"/>
      <c r="E446" s="51"/>
      <c r="K446" s="51"/>
      <c r="L446" s="52"/>
      <c r="P446" s="41"/>
    </row>
    <row r="447" spans="1:16" ht="15.75" customHeight="1" x14ac:dyDescent="0.25">
      <c r="A447" s="50"/>
      <c r="D447" s="51"/>
      <c r="E447" s="51"/>
      <c r="K447" s="51"/>
      <c r="L447" s="52"/>
      <c r="P447" s="41"/>
    </row>
    <row r="448" spans="1:16" ht="15.75" customHeight="1" x14ac:dyDescent="0.25">
      <c r="A448" s="50"/>
      <c r="D448" s="51"/>
      <c r="E448" s="51"/>
      <c r="K448" s="51"/>
      <c r="L448" s="52"/>
      <c r="P448" s="41"/>
    </row>
    <row r="449" spans="1:16" ht="15.75" customHeight="1" x14ac:dyDescent="0.25">
      <c r="A449" s="50"/>
      <c r="D449" s="51"/>
      <c r="E449" s="51"/>
      <c r="K449" s="51"/>
      <c r="L449" s="52"/>
      <c r="P449" s="41"/>
    </row>
    <row r="450" spans="1:16" ht="15.75" customHeight="1" x14ac:dyDescent="0.25">
      <c r="A450" s="50"/>
      <c r="D450" s="51"/>
      <c r="E450" s="51"/>
      <c r="K450" s="51"/>
      <c r="L450" s="52"/>
      <c r="P450" s="41"/>
    </row>
    <row r="451" spans="1:16" ht="15.75" customHeight="1" x14ac:dyDescent="0.25">
      <c r="A451" s="50"/>
      <c r="D451" s="51"/>
      <c r="E451" s="51"/>
      <c r="K451" s="51"/>
      <c r="L451" s="52"/>
      <c r="P451" s="41"/>
    </row>
    <row r="452" spans="1:16" ht="15.75" customHeight="1" x14ac:dyDescent="0.25">
      <c r="A452" s="50"/>
      <c r="D452" s="51"/>
      <c r="E452" s="51"/>
      <c r="K452" s="51"/>
      <c r="L452" s="52"/>
      <c r="P452" s="41"/>
    </row>
    <row r="453" spans="1:16" ht="15.75" customHeight="1" x14ac:dyDescent="0.25">
      <c r="A453" s="50"/>
      <c r="D453" s="51"/>
      <c r="E453" s="51"/>
      <c r="K453" s="51"/>
      <c r="L453" s="52"/>
      <c r="P453" s="41"/>
    </row>
    <row r="454" spans="1:16" ht="15.75" customHeight="1" x14ac:dyDescent="0.25">
      <c r="A454" s="50"/>
      <c r="D454" s="51"/>
      <c r="E454" s="51"/>
      <c r="K454" s="51"/>
      <c r="L454" s="52"/>
      <c r="P454" s="41"/>
    </row>
    <row r="455" spans="1:16" ht="15.75" customHeight="1" x14ac:dyDescent="0.25">
      <c r="A455" s="50"/>
      <c r="D455" s="51"/>
      <c r="E455" s="51"/>
      <c r="K455" s="51"/>
      <c r="L455" s="52"/>
      <c r="P455" s="41"/>
    </row>
    <row r="456" spans="1:16" ht="15.75" customHeight="1" x14ac:dyDescent="0.25">
      <c r="A456" s="50"/>
      <c r="D456" s="51"/>
      <c r="E456" s="51"/>
      <c r="K456" s="51"/>
      <c r="L456" s="52"/>
      <c r="P456" s="41"/>
    </row>
    <row r="457" spans="1:16" ht="15.75" customHeight="1" x14ac:dyDescent="0.25">
      <c r="A457" s="50"/>
      <c r="D457" s="51"/>
      <c r="E457" s="51"/>
      <c r="K457" s="51"/>
      <c r="L457" s="52"/>
      <c r="P457" s="41"/>
    </row>
    <row r="458" spans="1:16" ht="15.75" customHeight="1" x14ac:dyDescent="0.25">
      <c r="A458" s="50"/>
      <c r="D458" s="51"/>
      <c r="E458" s="51"/>
      <c r="K458" s="51"/>
      <c r="L458" s="52"/>
      <c r="P458" s="41"/>
    </row>
    <row r="459" spans="1:16" ht="15.75" customHeight="1" x14ac:dyDescent="0.25">
      <c r="A459" s="50"/>
      <c r="D459" s="51"/>
      <c r="E459" s="51"/>
      <c r="K459" s="51"/>
      <c r="L459" s="52"/>
      <c r="P459" s="41"/>
    </row>
    <row r="460" spans="1:16" ht="15.75" customHeight="1" x14ac:dyDescent="0.25">
      <c r="A460" s="50"/>
      <c r="D460" s="51"/>
      <c r="E460" s="51"/>
      <c r="K460" s="51"/>
      <c r="L460" s="52"/>
      <c r="P460" s="41"/>
    </row>
    <row r="461" spans="1:16" ht="15.75" customHeight="1" x14ac:dyDescent="0.25">
      <c r="A461" s="50"/>
      <c r="D461" s="51"/>
      <c r="E461" s="51"/>
      <c r="K461" s="51"/>
      <c r="L461" s="52"/>
      <c r="P461" s="41"/>
    </row>
    <row r="462" spans="1:16" ht="15.75" customHeight="1" x14ac:dyDescent="0.25">
      <c r="A462" s="50"/>
      <c r="D462" s="51"/>
      <c r="E462" s="51"/>
      <c r="K462" s="51"/>
      <c r="L462" s="52"/>
      <c r="P462" s="41"/>
    </row>
    <row r="463" spans="1:16" ht="15.75" customHeight="1" x14ac:dyDescent="0.25">
      <c r="A463" s="50"/>
      <c r="D463" s="51"/>
      <c r="E463" s="51"/>
      <c r="K463" s="51"/>
      <c r="L463" s="52"/>
      <c r="P463" s="41"/>
    </row>
    <row r="464" spans="1:16" ht="15.75" customHeight="1" x14ac:dyDescent="0.25">
      <c r="A464" s="50"/>
      <c r="D464" s="51"/>
      <c r="E464" s="51"/>
      <c r="K464" s="51"/>
      <c r="L464" s="52"/>
      <c r="P464" s="41"/>
    </row>
    <row r="465" spans="1:16" ht="15.75" customHeight="1" x14ac:dyDescent="0.25">
      <c r="A465" s="50"/>
      <c r="D465" s="51"/>
      <c r="E465" s="51"/>
      <c r="K465" s="51"/>
      <c r="L465" s="52"/>
      <c r="P465" s="41"/>
    </row>
    <row r="466" spans="1:16" ht="15.75" customHeight="1" x14ac:dyDescent="0.25">
      <c r="A466" s="50"/>
      <c r="D466" s="51"/>
      <c r="E466" s="51"/>
      <c r="K466" s="51"/>
      <c r="L466" s="52"/>
      <c r="P466" s="41"/>
    </row>
    <row r="467" spans="1:16" ht="15.75" customHeight="1" x14ac:dyDescent="0.25">
      <c r="A467" s="50"/>
      <c r="D467" s="51"/>
      <c r="E467" s="51"/>
      <c r="K467" s="51"/>
      <c r="L467" s="52"/>
      <c r="P467" s="41"/>
    </row>
    <row r="468" spans="1:16" ht="15.75" customHeight="1" x14ac:dyDescent="0.25">
      <c r="A468" s="50"/>
      <c r="D468" s="51"/>
      <c r="E468" s="51"/>
      <c r="K468" s="51"/>
      <c r="L468" s="52"/>
      <c r="P468" s="41"/>
    </row>
    <row r="469" spans="1:16" ht="15.75" customHeight="1" x14ac:dyDescent="0.25">
      <c r="A469" s="50"/>
      <c r="D469" s="51"/>
      <c r="E469" s="51"/>
      <c r="K469" s="51"/>
      <c r="L469" s="52"/>
      <c r="P469" s="41"/>
    </row>
    <row r="470" spans="1:16" ht="15.75" customHeight="1" x14ac:dyDescent="0.25">
      <c r="A470" s="50"/>
      <c r="D470" s="51"/>
      <c r="E470" s="51"/>
      <c r="K470" s="51"/>
      <c r="L470" s="52"/>
      <c r="P470" s="41"/>
    </row>
    <row r="471" spans="1:16" ht="15.75" customHeight="1" x14ac:dyDescent="0.25">
      <c r="A471" s="50"/>
      <c r="D471" s="51"/>
      <c r="E471" s="51"/>
      <c r="K471" s="51"/>
      <c r="L471" s="52"/>
      <c r="P471" s="41"/>
    </row>
    <row r="472" spans="1:16" ht="15.75" customHeight="1" x14ac:dyDescent="0.25">
      <c r="A472" s="50"/>
      <c r="D472" s="51"/>
      <c r="E472" s="51"/>
      <c r="K472" s="51"/>
      <c r="L472" s="52"/>
      <c r="P472" s="41"/>
    </row>
    <row r="473" spans="1:16" ht="15.75" customHeight="1" x14ac:dyDescent="0.25">
      <c r="A473" s="50"/>
      <c r="D473" s="51"/>
      <c r="E473" s="51"/>
      <c r="K473" s="51"/>
      <c r="L473" s="52"/>
      <c r="P473" s="41"/>
    </row>
    <row r="474" spans="1:16" ht="15.75" customHeight="1" x14ac:dyDescent="0.25">
      <c r="A474" s="50"/>
      <c r="D474" s="51"/>
      <c r="E474" s="51"/>
      <c r="K474" s="51"/>
      <c r="L474" s="52"/>
      <c r="P474" s="41"/>
    </row>
    <row r="475" spans="1:16" ht="15.75" customHeight="1" x14ac:dyDescent="0.25">
      <c r="A475" s="50"/>
      <c r="D475" s="51"/>
      <c r="E475" s="51"/>
      <c r="K475" s="51"/>
      <c r="L475" s="52"/>
      <c r="P475" s="41"/>
    </row>
    <row r="476" spans="1:16" ht="15.75" customHeight="1" x14ac:dyDescent="0.25">
      <c r="A476" s="50"/>
      <c r="D476" s="51"/>
      <c r="E476" s="51"/>
      <c r="K476" s="51"/>
      <c r="L476" s="52"/>
      <c r="P476" s="41"/>
    </row>
    <row r="477" spans="1:16" ht="15.75" customHeight="1" x14ac:dyDescent="0.25">
      <c r="A477" s="50"/>
      <c r="D477" s="51"/>
      <c r="E477" s="51"/>
      <c r="K477" s="51"/>
      <c r="L477" s="52"/>
      <c r="P477" s="41"/>
    </row>
    <row r="478" spans="1:16" ht="15.75" customHeight="1" x14ac:dyDescent="0.25">
      <c r="A478" s="50"/>
      <c r="D478" s="51"/>
      <c r="E478" s="51"/>
      <c r="K478" s="51"/>
      <c r="L478" s="52"/>
      <c r="P478" s="41"/>
    </row>
    <row r="479" spans="1:16" ht="15.75" customHeight="1" x14ac:dyDescent="0.25">
      <c r="A479" s="50"/>
      <c r="D479" s="51"/>
      <c r="E479" s="51"/>
      <c r="K479" s="51"/>
      <c r="L479" s="52"/>
      <c r="P479" s="41"/>
    </row>
    <row r="480" spans="1:16" ht="15.75" customHeight="1" x14ac:dyDescent="0.25">
      <c r="A480" s="50"/>
      <c r="D480" s="51"/>
      <c r="E480" s="51"/>
      <c r="K480" s="51"/>
      <c r="L480" s="52"/>
      <c r="P480" s="41"/>
    </row>
    <row r="481" spans="1:16" ht="15.75" customHeight="1" x14ac:dyDescent="0.25">
      <c r="A481" s="50"/>
      <c r="D481" s="51"/>
      <c r="E481" s="51"/>
      <c r="K481" s="51"/>
      <c r="L481" s="52"/>
      <c r="P481" s="41"/>
    </row>
    <row r="482" spans="1:16" ht="15.75" customHeight="1" x14ac:dyDescent="0.25">
      <c r="A482" s="50"/>
      <c r="D482" s="51"/>
      <c r="E482" s="51"/>
      <c r="K482" s="51"/>
      <c r="L482" s="52"/>
      <c r="P482" s="41"/>
    </row>
    <row r="483" spans="1:16" ht="15.75" customHeight="1" x14ac:dyDescent="0.25">
      <c r="A483" s="50"/>
      <c r="D483" s="51"/>
      <c r="E483" s="51"/>
      <c r="K483" s="51"/>
      <c r="L483" s="52"/>
      <c r="P483" s="41"/>
    </row>
    <row r="484" spans="1:16" ht="15.75" customHeight="1" x14ac:dyDescent="0.25">
      <c r="A484" s="50"/>
      <c r="D484" s="51"/>
      <c r="E484" s="51"/>
      <c r="K484" s="51"/>
      <c r="L484" s="52"/>
      <c r="P484" s="41"/>
    </row>
    <row r="485" spans="1:16" ht="15.75" customHeight="1" x14ac:dyDescent="0.25">
      <c r="A485" s="50"/>
      <c r="D485" s="51"/>
      <c r="E485" s="51"/>
      <c r="K485" s="51"/>
      <c r="L485" s="52"/>
      <c r="P485" s="41"/>
    </row>
    <row r="486" spans="1:16" ht="15.75" customHeight="1" x14ac:dyDescent="0.25">
      <c r="A486" s="50"/>
      <c r="D486" s="51"/>
      <c r="E486" s="51"/>
      <c r="K486" s="51"/>
      <c r="L486" s="52"/>
      <c r="P486" s="41"/>
    </row>
    <row r="487" spans="1:16" ht="15.75" customHeight="1" x14ac:dyDescent="0.25">
      <c r="A487" s="50"/>
      <c r="D487" s="51"/>
      <c r="E487" s="51"/>
      <c r="K487" s="51"/>
      <c r="L487" s="52"/>
      <c r="P487" s="41"/>
    </row>
    <row r="488" spans="1:16" ht="15.75" customHeight="1" x14ac:dyDescent="0.25">
      <c r="A488" s="50"/>
      <c r="D488" s="51"/>
      <c r="E488" s="51"/>
      <c r="K488" s="51"/>
      <c r="L488" s="52"/>
      <c r="P488" s="41"/>
    </row>
    <row r="489" spans="1:16" ht="15.75" customHeight="1" x14ac:dyDescent="0.25">
      <c r="A489" s="50"/>
      <c r="D489" s="51"/>
      <c r="E489" s="51"/>
      <c r="K489" s="51"/>
      <c r="L489" s="52"/>
      <c r="P489" s="41"/>
    </row>
    <row r="490" spans="1:16" ht="15.75" customHeight="1" x14ac:dyDescent="0.25">
      <c r="A490" s="50"/>
      <c r="D490" s="51"/>
      <c r="E490" s="51"/>
      <c r="K490" s="51"/>
      <c r="L490" s="52"/>
      <c r="P490" s="41"/>
    </row>
    <row r="491" spans="1:16" ht="15.75" customHeight="1" x14ac:dyDescent="0.25">
      <c r="A491" s="50"/>
      <c r="D491" s="51"/>
      <c r="E491" s="51"/>
      <c r="K491" s="51"/>
      <c r="L491" s="52"/>
      <c r="P491" s="41"/>
    </row>
    <row r="492" spans="1:16" ht="15.75" customHeight="1" x14ac:dyDescent="0.25">
      <c r="A492" s="50"/>
      <c r="D492" s="51"/>
      <c r="E492" s="51"/>
      <c r="K492" s="51"/>
      <c r="L492" s="52"/>
      <c r="P492" s="41"/>
    </row>
    <row r="493" spans="1:16" ht="15.75" customHeight="1" x14ac:dyDescent="0.25">
      <c r="A493" s="50"/>
      <c r="D493" s="51"/>
      <c r="E493" s="51"/>
      <c r="K493" s="51"/>
      <c r="L493" s="52"/>
      <c r="P493" s="41"/>
    </row>
    <row r="494" spans="1:16" ht="15.75" customHeight="1" x14ac:dyDescent="0.25">
      <c r="A494" s="50"/>
      <c r="D494" s="51"/>
      <c r="E494" s="51"/>
      <c r="K494" s="51"/>
      <c r="L494" s="52"/>
      <c r="P494" s="41"/>
    </row>
    <row r="495" spans="1:16" ht="15.75" customHeight="1" x14ac:dyDescent="0.25">
      <c r="A495" s="50"/>
      <c r="D495" s="51"/>
      <c r="E495" s="51"/>
      <c r="K495" s="51"/>
      <c r="L495" s="52"/>
      <c r="P495" s="41"/>
    </row>
    <row r="496" spans="1:16" ht="15.75" customHeight="1" x14ac:dyDescent="0.25">
      <c r="A496" s="50"/>
      <c r="D496" s="51"/>
      <c r="E496" s="51"/>
      <c r="K496" s="51"/>
      <c r="L496" s="52"/>
      <c r="P496" s="41"/>
    </row>
    <row r="497" spans="1:16" ht="15.75" customHeight="1" x14ac:dyDescent="0.25">
      <c r="A497" s="50"/>
      <c r="D497" s="51"/>
      <c r="E497" s="51"/>
      <c r="K497" s="51"/>
      <c r="L497" s="52"/>
      <c r="P497" s="41"/>
    </row>
    <row r="498" spans="1:16" ht="15.75" customHeight="1" x14ac:dyDescent="0.25">
      <c r="A498" s="50"/>
      <c r="D498" s="51"/>
      <c r="E498" s="51"/>
      <c r="K498" s="51"/>
      <c r="L498" s="52"/>
      <c r="P498" s="41"/>
    </row>
    <row r="499" spans="1:16" ht="15.75" customHeight="1" x14ac:dyDescent="0.25">
      <c r="A499" s="50"/>
      <c r="D499" s="51"/>
      <c r="E499" s="51"/>
      <c r="K499" s="51"/>
      <c r="L499" s="52"/>
      <c r="P499" s="41"/>
    </row>
    <row r="500" spans="1:16" ht="15.75" customHeight="1" x14ac:dyDescent="0.25">
      <c r="A500" s="50"/>
      <c r="D500" s="51"/>
      <c r="E500" s="51"/>
      <c r="K500" s="51"/>
      <c r="L500" s="52"/>
      <c r="P500" s="41"/>
    </row>
    <row r="501" spans="1:16" ht="15.75" customHeight="1" x14ac:dyDescent="0.25">
      <c r="A501" s="50"/>
      <c r="D501" s="51"/>
      <c r="E501" s="51"/>
      <c r="K501" s="51"/>
      <c r="L501" s="52"/>
      <c r="P501" s="41"/>
    </row>
    <row r="502" spans="1:16" ht="15.75" customHeight="1" x14ac:dyDescent="0.25">
      <c r="A502" s="50"/>
      <c r="D502" s="51"/>
      <c r="E502" s="51"/>
      <c r="K502" s="51"/>
      <c r="L502" s="52"/>
      <c r="P502" s="41"/>
    </row>
    <row r="503" spans="1:16" ht="15.75" customHeight="1" x14ac:dyDescent="0.25">
      <c r="A503" s="50"/>
      <c r="D503" s="51"/>
      <c r="E503" s="51"/>
      <c r="K503" s="51"/>
      <c r="L503" s="52"/>
      <c r="P503" s="41"/>
    </row>
    <row r="504" spans="1:16" ht="15.75" customHeight="1" x14ac:dyDescent="0.25">
      <c r="A504" s="50"/>
      <c r="D504" s="51"/>
      <c r="E504" s="51"/>
      <c r="K504" s="51"/>
      <c r="L504" s="52"/>
      <c r="P504" s="41"/>
    </row>
    <row r="505" spans="1:16" ht="15.75" customHeight="1" x14ac:dyDescent="0.25">
      <c r="A505" s="50"/>
      <c r="D505" s="51"/>
      <c r="E505" s="51"/>
      <c r="K505" s="51"/>
      <c r="L505" s="52"/>
      <c r="P505" s="41"/>
    </row>
    <row r="506" spans="1:16" ht="15.75" customHeight="1" x14ac:dyDescent="0.25">
      <c r="A506" s="50"/>
      <c r="D506" s="51"/>
      <c r="E506" s="51"/>
      <c r="K506" s="51"/>
      <c r="L506" s="52"/>
      <c r="P506" s="41"/>
    </row>
    <row r="507" spans="1:16" ht="15.75" customHeight="1" x14ac:dyDescent="0.25">
      <c r="A507" s="50"/>
      <c r="D507" s="51"/>
      <c r="E507" s="51"/>
      <c r="K507" s="51"/>
      <c r="L507" s="52"/>
      <c r="P507" s="41"/>
    </row>
    <row r="508" spans="1:16" ht="15.75" customHeight="1" x14ac:dyDescent="0.25">
      <c r="A508" s="50"/>
      <c r="D508" s="51"/>
      <c r="E508" s="51"/>
      <c r="K508" s="51"/>
      <c r="L508" s="52"/>
      <c r="P508" s="41"/>
    </row>
    <row r="509" spans="1:16" ht="15.75" customHeight="1" x14ac:dyDescent="0.25">
      <c r="A509" s="50"/>
      <c r="D509" s="51"/>
      <c r="E509" s="51"/>
      <c r="K509" s="51"/>
      <c r="L509" s="52"/>
      <c r="P509" s="41"/>
    </row>
    <row r="510" spans="1:16" ht="15.75" customHeight="1" x14ac:dyDescent="0.25">
      <c r="A510" s="50"/>
      <c r="D510" s="51"/>
      <c r="E510" s="51"/>
      <c r="K510" s="51"/>
      <c r="L510" s="52"/>
      <c r="P510" s="41"/>
    </row>
    <row r="511" spans="1:16" ht="15.75" customHeight="1" x14ac:dyDescent="0.25">
      <c r="A511" s="50"/>
      <c r="D511" s="51"/>
      <c r="E511" s="51"/>
      <c r="K511" s="51"/>
      <c r="L511" s="52"/>
      <c r="P511" s="41"/>
    </row>
    <row r="512" spans="1:16" ht="15.75" customHeight="1" x14ac:dyDescent="0.25">
      <c r="A512" s="50"/>
      <c r="D512" s="51"/>
      <c r="E512" s="51"/>
      <c r="K512" s="51"/>
      <c r="L512" s="52"/>
      <c r="P512" s="41"/>
    </row>
    <row r="513" spans="1:16" ht="15.75" customHeight="1" x14ac:dyDescent="0.25">
      <c r="A513" s="50"/>
      <c r="D513" s="51"/>
      <c r="E513" s="51"/>
      <c r="K513" s="51"/>
      <c r="L513" s="52"/>
      <c r="P513" s="41"/>
    </row>
    <row r="514" spans="1:16" ht="15.75" customHeight="1" x14ac:dyDescent="0.25">
      <c r="A514" s="50"/>
      <c r="D514" s="51"/>
      <c r="E514" s="51"/>
      <c r="K514" s="51"/>
      <c r="L514" s="52"/>
      <c r="P514" s="41"/>
    </row>
    <row r="515" spans="1:16" ht="15.75" customHeight="1" x14ac:dyDescent="0.25">
      <c r="A515" s="50"/>
      <c r="D515" s="51"/>
      <c r="E515" s="51"/>
      <c r="K515" s="51"/>
      <c r="L515" s="52"/>
      <c r="P515" s="41"/>
    </row>
    <row r="516" spans="1:16" ht="15.75" customHeight="1" x14ac:dyDescent="0.25">
      <c r="A516" s="50"/>
      <c r="D516" s="51"/>
      <c r="E516" s="51"/>
      <c r="K516" s="51"/>
      <c r="L516" s="52"/>
      <c r="P516" s="41"/>
    </row>
    <row r="517" spans="1:16" ht="15.75" customHeight="1" x14ac:dyDescent="0.25">
      <c r="A517" s="50"/>
      <c r="D517" s="51"/>
      <c r="E517" s="51"/>
      <c r="K517" s="51"/>
      <c r="L517" s="52"/>
      <c r="P517" s="41"/>
    </row>
    <row r="518" spans="1:16" ht="15.75" customHeight="1" x14ac:dyDescent="0.25">
      <c r="A518" s="50"/>
      <c r="D518" s="51"/>
      <c r="E518" s="51"/>
      <c r="K518" s="51"/>
      <c r="L518" s="52"/>
      <c r="P518" s="41"/>
    </row>
    <row r="519" spans="1:16" ht="15.75" customHeight="1" x14ac:dyDescent="0.25">
      <c r="A519" s="50"/>
      <c r="D519" s="51"/>
      <c r="E519" s="51"/>
      <c r="K519" s="51"/>
      <c r="L519" s="52"/>
      <c r="P519" s="41"/>
    </row>
    <row r="520" spans="1:16" ht="15.75" customHeight="1" x14ac:dyDescent="0.25">
      <c r="A520" s="50"/>
      <c r="D520" s="51"/>
      <c r="E520" s="51"/>
      <c r="K520" s="51"/>
      <c r="L520" s="52"/>
      <c r="P520" s="41"/>
    </row>
    <row r="521" spans="1:16" ht="15.75" customHeight="1" x14ac:dyDescent="0.25">
      <c r="A521" s="50"/>
      <c r="D521" s="51"/>
      <c r="E521" s="51"/>
      <c r="K521" s="51"/>
      <c r="L521" s="52"/>
      <c r="P521" s="41"/>
    </row>
    <row r="522" spans="1:16" ht="15.75" customHeight="1" x14ac:dyDescent="0.25">
      <c r="A522" s="50"/>
      <c r="D522" s="51"/>
      <c r="E522" s="51"/>
      <c r="K522" s="51"/>
      <c r="L522" s="52"/>
      <c r="P522" s="41"/>
    </row>
    <row r="523" spans="1:16" ht="15.75" customHeight="1" x14ac:dyDescent="0.25">
      <c r="A523" s="50"/>
      <c r="D523" s="51"/>
      <c r="E523" s="51"/>
      <c r="K523" s="51"/>
      <c r="L523" s="52"/>
      <c r="P523" s="41"/>
    </row>
    <row r="524" spans="1:16" ht="15.75" customHeight="1" x14ac:dyDescent="0.25">
      <c r="A524" s="50"/>
      <c r="D524" s="51"/>
      <c r="E524" s="51"/>
      <c r="K524" s="51"/>
      <c r="L524" s="52"/>
      <c r="P524" s="41"/>
    </row>
    <row r="525" spans="1:16" ht="15.75" customHeight="1" x14ac:dyDescent="0.25">
      <c r="A525" s="50"/>
      <c r="D525" s="51"/>
      <c r="E525" s="51"/>
      <c r="K525" s="51"/>
      <c r="L525" s="52"/>
      <c r="P525" s="41"/>
    </row>
    <row r="526" spans="1:16" ht="15.75" customHeight="1" x14ac:dyDescent="0.25">
      <c r="A526" s="50"/>
      <c r="D526" s="51"/>
      <c r="E526" s="51"/>
      <c r="K526" s="51"/>
      <c r="L526" s="52"/>
      <c r="P526" s="41"/>
    </row>
    <row r="527" spans="1:16" ht="15.75" customHeight="1" x14ac:dyDescent="0.25">
      <c r="A527" s="50"/>
      <c r="D527" s="51"/>
      <c r="E527" s="51"/>
      <c r="K527" s="51"/>
      <c r="L527" s="52"/>
      <c r="P527" s="41"/>
    </row>
    <row r="528" spans="1:16" ht="15.75" customHeight="1" x14ac:dyDescent="0.25">
      <c r="A528" s="50"/>
      <c r="D528" s="51"/>
      <c r="E528" s="51"/>
      <c r="K528" s="51"/>
      <c r="L528" s="52"/>
      <c r="P528" s="41"/>
    </row>
    <row r="529" spans="1:16" ht="15.75" customHeight="1" x14ac:dyDescent="0.25">
      <c r="A529" s="50"/>
      <c r="D529" s="51"/>
      <c r="E529" s="51"/>
      <c r="K529" s="51"/>
      <c r="L529" s="52"/>
      <c r="P529" s="41"/>
    </row>
    <row r="530" spans="1:16" ht="15.75" customHeight="1" x14ac:dyDescent="0.25">
      <c r="A530" s="50"/>
      <c r="D530" s="51"/>
      <c r="E530" s="51"/>
      <c r="K530" s="51"/>
      <c r="L530" s="52"/>
      <c r="P530" s="41"/>
    </row>
    <row r="531" spans="1:16" ht="15.75" customHeight="1" x14ac:dyDescent="0.25">
      <c r="A531" s="50"/>
      <c r="D531" s="51"/>
      <c r="E531" s="51"/>
      <c r="K531" s="51"/>
      <c r="L531" s="52"/>
      <c r="P531" s="41"/>
    </row>
    <row r="532" spans="1:16" ht="15.75" customHeight="1" x14ac:dyDescent="0.25">
      <c r="A532" s="50"/>
      <c r="D532" s="51"/>
      <c r="E532" s="51"/>
      <c r="K532" s="51"/>
      <c r="L532" s="52"/>
      <c r="P532" s="41"/>
    </row>
    <row r="533" spans="1:16" ht="15.75" customHeight="1" x14ac:dyDescent="0.25">
      <c r="A533" s="50"/>
      <c r="D533" s="51"/>
      <c r="E533" s="51"/>
      <c r="K533" s="51"/>
      <c r="L533" s="52"/>
      <c r="P533" s="41"/>
    </row>
    <row r="534" spans="1:16" ht="15.75" customHeight="1" x14ac:dyDescent="0.25">
      <c r="A534" s="50"/>
      <c r="D534" s="51"/>
      <c r="E534" s="51"/>
      <c r="K534" s="51"/>
      <c r="L534" s="52"/>
      <c r="P534" s="41"/>
    </row>
    <row r="535" spans="1:16" ht="15.75" customHeight="1" x14ac:dyDescent="0.25">
      <c r="A535" s="50"/>
      <c r="D535" s="51"/>
      <c r="E535" s="51"/>
      <c r="K535" s="51"/>
      <c r="L535" s="52"/>
      <c r="P535" s="41"/>
    </row>
    <row r="536" spans="1:16" ht="15.75" customHeight="1" x14ac:dyDescent="0.25">
      <c r="A536" s="50"/>
      <c r="D536" s="51"/>
      <c r="E536" s="51"/>
      <c r="K536" s="51"/>
      <c r="L536" s="52"/>
      <c r="P536" s="41"/>
    </row>
    <row r="537" spans="1:16" ht="15.75" customHeight="1" x14ac:dyDescent="0.25">
      <c r="A537" s="50"/>
      <c r="D537" s="51"/>
      <c r="E537" s="51"/>
      <c r="K537" s="51"/>
      <c r="L537" s="52"/>
      <c r="P537" s="41"/>
    </row>
    <row r="538" spans="1:16" ht="15.75" customHeight="1" x14ac:dyDescent="0.25">
      <c r="A538" s="50"/>
      <c r="D538" s="51"/>
      <c r="E538" s="51"/>
      <c r="K538" s="51"/>
      <c r="L538" s="52"/>
      <c r="P538" s="41"/>
    </row>
    <row r="539" spans="1:16" ht="15.75" customHeight="1" x14ac:dyDescent="0.25">
      <c r="A539" s="50"/>
      <c r="D539" s="51"/>
      <c r="E539" s="51"/>
      <c r="K539" s="51"/>
      <c r="L539" s="52"/>
      <c r="P539" s="41"/>
    </row>
    <row r="540" spans="1:16" ht="15.75" customHeight="1" x14ac:dyDescent="0.25">
      <c r="A540" s="50"/>
      <c r="D540" s="51"/>
      <c r="E540" s="51"/>
      <c r="K540" s="51"/>
      <c r="L540" s="52"/>
      <c r="P540" s="41"/>
    </row>
    <row r="541" spans="1:16" ht="15.75" customHeight="1" x14ac:dyDescent="0.25">
      <c r="A541" s="50"/>
      <c r="D541" s="51"/>
      <c r="E541" s="51"/>
      <c r="K541" s="51"/>
      <c r="L541" s="52"/>
      <c r="P541" s="41"/>
    </row>
    <row r="542" spans="1:16" ht="15.75" customHeight="1" x14ac:dyDescent="0.25">
      <c r="A542" s="50"/>
      <c r="D542" s="51"/>
      <c r="E542" s="51"/>
      <c r="K542" s="51"/>
      <c r="L542" s="52"/>
      <c r="P542" s="41"/>
    </row>
    <row r="543" spans="1:16" ht="15.75" customHeight="1" x14ac:dyDescent="0.25">
      <c r="A543" s="50"/>
      <c r="D543" s="51"/>
      <c r="E543" s="51"/>
      <c r="K543" s="51"/>
      <c r="L543" s="52"/>
      <c r="P543" s="41"/>
    </row>
    <row r="544" spans="1:16" ht="15.75" customHeight="1" x14ac:dyDescent="0.25">
      <c r="A544" s="50"/>
      <c r="D544" s="51"/>
      <c r="E544" s="51"/>
      <c r="K544" s="51"/>
      <c r="L544" s="52"/>
      <c r="P544" s="41"/>
    </row>
    <row r="545" spans="1:16" ht="15.75" customHeight="1" x14ac:dyDescent="0.25">
      <c r="A545" s="50"/>
      <c r="D545" s="51"/>
      <c r="E545" s="51"/>
      <c r="K545" s="51"/>
      <c r="L545" s="52"/>
      <c r="P545" s="41"/>
    </row>
    <row r="546" spans="1:16" ht="15.75" customHeight="1" x14ac:dyDescent="0.25">
      <c r="A546" s="50"/>
      <c r="D546" s="51"/>
      <c r="E546" s="51"/>
      <c r="K546" s="51"/>
      <c r="L546" s="52"/>
      <c r="P546" s="41"/>
    </row>
    <row r="547" spans="1:16" ht="15.75" customHeight="1" x14ac:dyDescent="0.25">
      <c r="A547" s="50"/>
      <c r="D547" s="51"/>
      <c r="E547" s="51"/>
      <c r="K547" s="51"/>
      <c r="L547" s="52"/>
      <c r="P547" s="41"/>
    </row>
    <row r="548" spans="1:16" ht="15.75" customHeight="1" x14ac:dyDescent="0.25">
      <c r="A548" s="50"/>
      <c r="D548" s="51"/>
      <c r="E548" s="51"/>
      <c r="K548" s="51"/>
      <c r="L548" s="52"/>
      <c r="P548" s="41"/>
    </row>
    <row r="549" spans="1:16" ht="15.75" customHeight="1" x14ac:dyDescent="0.25">
      <c r="A549" s="50"/>
      <c r="D549" s="51"/>
      <c r="E549" s="51"/>
      <c r="K549" s="51"/>
      <c r="L549" s="52"/>
      <c r="P549" s="41"/>
    </row>
    <row r="550" spans="1:16" ht="15.75" customHeight="1" x14ac:dyDescent="0.25">
      <c r="A550" s="50"/>
      <c r="D550" s="51"/>
      <c r="E550" s="51"/>
      <c r="K550" s="51"/>
      <c r="L550" s="52"/>
      <c r="P550" s="41"/>
    </row>
    <row r="551" spans="1:16" ht="15.75" customHeight="1" x14ac:dyDescent="0.25">
      <c r="A551" s="50"/>
      <c r="D551" s="51"/>
      <c r="E551" s="51"/>
      <c r="K551" s="51"/>
      <c r="L551" s="52"/>
      <c r="P551" s="41"/>
    </row>
    <row r="552" spans="1:16" ht="15.75" customHeight="1" x14ac:dyDescent="0.25">
      <c r="A552" s="50"/>
      <c r="D552" s="51"/>
      <c r="E552" s="51"/>
      <c r="K552" s="51"/>
      <c r="L552" s="52"/>
      <c r="P552" s="41"/>
    </row>
    <row r="553" spans="1:16" ht="15.75" customHeight="1" x14ac:dyDescent="0.25">
      <c r="A553" s="50"/>
      <c r="D553" s="51"/>
      <c r="E553" s="51"/>
      <c r="K553" s="51"/>
      <c r="L553" s="52"/>
      <c r="P553" s="41"/>
    </row>
    <row r="554" spans="1:16" ht="15.75" customHeight="1" x14ac:dyDescent="0.25">
      <c r="A554" s="50"/>
      <c r="D554" s="51"/>
      <c r="E554" s="51"/>
      <c r="K554" s="51"/>
      <c r="L554" s="52"/>
      <c r="P554" s="41"/>
    </row>
    <row r="555" spans="1:16" ht="15.75" customHeight="1" x14ac:dyDescent="0.25">
      <c r="A555" s="50"/>
      <c r="D555" s="51"/>
      <c r="E555" s="51"/>
      <c r="K555" s="51"/>
      <c r="L555" s="52"/>
      <c r="P555" s="41"/>
    </row>
    <row r="556" spans="1:16" ht="15.75" customHeight="1" x14ac:dyDescent="0.25">
      <c r="A556" s="50"/>
      <c r="D556" s="51"/>
      <c r="E556" s="51"/>
      <c r="K556" s="51"/>
      <c r="L556" s="52"/>
      <c r="P556" s="41"/>
    </row>
    <row r="557" spans="1:16" ht="15.75" customHeight="1" x14ac:dyDescent="0.25">
      <c r="A557" s="50"/>
      <c r="D557" s="51"/>
      <c r="E557" s="51"/>
      <c r="K557" s="51"/>
      <c r="L557" s="52"/>
      <c r="P557" s="41"/>
    </row>
    <row r="558" spans="1:16" ht="15.75" customHeight="1" x14ac:dyDescent="0.25">
      <c r="A558" s="50"/>
      <c r="D558" s="51"/>
      <c r="E558" s="51"/>
      <c r="K558" s="51"/>
      <c r="L558" s="52"/>
      <c r="P558" s="41"/>
    </row>
    <row r="559" spans="1:16" ht="15.75" customHeight="1" x14ac:dyDescent="0.25">
      <c r="A559" s="50"/>
      <c r="D559" s="51"/>
      <c r="E559" s="51"/>
      <c r="K559" s="51"/>
      <c r="L559" s="52"/>
      <c r="P559" s="41"/>
    </row>
    <row r="560" spans="1:16" ht="15.75" customHeight="1" x14ac:dyDescent="0.25">
      <c r="A560" s="50"/>
      <c r="D560" s="51"/>
      <c r="E560" s="51"/>
      <c r="K560" s="51"/>
      <c r="L560" s="52"/>
      <c r="P560" s="41"/>
    </row>
    <row r="561" spans="1:16" ht="15.75" customHeight="1" x14ac:dyDescent="0.25">
      <c r="A561" s="50"/>
      <c r="D561" s="51"/>
      <c r="E561" s="51"/>
      <c r="K561" s="51"/>
      <c r="L561" s="52"/>
      <c r="P561" s="41"/>
    </row>
    <row r="562" spans="1:16" ht="15.75" customHeight="1" x14ac:dyDescent="0.25">
      <c r="A562" s="50"/>
      <c r="D562" s="51"/>
      <c r="E562" s="51"/>
      <c r="K562" s="51"/>
      <c r="L562" s="52"/>
      <c r="P562" s="41"/>
    </row>
    <row r="563" spans="1:16" ht="15.75" customHeight="1" x14ac:dyDescent="0.25">
      <c r="A563" s="50"/>
      <c r="D563" s="51"/>
      <c r="E563" s="51"/>
      <c r="K563" s="51"/>
      <c r="L563" s="52"/>
      <c r="P563" s="41"/>
    </row>
    <row r="564" spans="1:16" ht="15.75" customHeight="1" x14ac:dyDescent="0.25">
      <c r="A564" s="50"/>
      <c r="D564" s="51"/>
      <c r="E564" s="51"/>
      <c r="K564" s="51"/>
      <c r="L564" s="52"/>
      <c r="P564" s="41"/>
    </row>
    <row r="565" spans="1:16" ht="15.75" customHeight="1" x14ac:dyDescent="0.25">
      <c r="A565" s="50"/>
      <c r="D565" s="51"/>
      <c r="E565" s="51"/>
      <c r="K565" s="51"/>
      <c r="L565" s="52"/>
      <c r="P565" s="41"/>
    </row>
    <row r="566" spans="1:16" ht="15.75" customHeight="1" x14ac:dyDescent="0.25">
      <c r="A566" s="50"/>
      <c r="D566" s="51"/>
      <c r="E566" s="51"/>
      <c r="K566" s="51"/>
      <c r="L566" s="52"/>
      <c r="P566" s="41"/>
    </row>
    <row r="567" spans="1:16" ht="15.75" customHeight="1" x14ac:dyDescent="0.25">
      <c r="A567" s="50"/>
      <c r="D567" s="51"/>
      <c r="E567" s="51"/>
      <c r="K567" s="51"/>
      <c r="L567" s="52"/>
      <c r="P567" s="41"/>
    </row>
    <row r="568" spans="1:16" ht="15.75" customHeight="1" x14ac:dyDescent="0.25">
      <c r="A568" s="50"/>
      <c r="D568" s="51"/>
      <c r="E568" s="51"/>
      <c r="K568" s="51"/>
      <c r="L568" s="52"/>
      <c r="P568" s="41"/>
    </row>
    <row r="569" spans="1:16" ht="15.75" customHeight="1" x14ac:dyDescent="0.25">
      <c r="A569" s="50"/>
      <c r="D569" s="51"/>
      <c r="E569" s="51"/>
      <c r="K569" s="51"/>
      <c r="L569" s="52"/>
      <c r="P569" s="41"/>
    </row>
    <row r="570" spans="1:16" ht="15.75" customHeight="1" x14ac:dyDescent="0.25">
      <c r="A570" s="50"/>
      <c r="D570" s="51"/>
      <c r="E570" s="51"/>
      <c r="K570" s="51"/>
      <c r="L570" s="52"/>
      <c r="P570" s="41"/>
    </row>
    <row r="571" spans="1:16" ht="15.75" customHeight="1" x14ac:dyDescent="0.25">
      <c r="A571" s="50"/>
      <c r="D571" s="51"/>
      <c r="E571" s="51"/>
      <c r="K571" s="51"/>
      <c r="L571" s="52"/>
      <c r="P571" s="41"/>
    </row>
    <row r="572" spans="1:16" ht="15.75" customHeight="1" x14ac:dyDescent="0.25">
      <c r="A572" s="50"/>
      <c r="D572" s="51"/>
      <c r="E572" s="51"/>
      <c r="K572" s="51"/>
      <c r="L572" s="52"/>
      <c r="P572" s="41"/>
    </row>
    <row r="573" spans="1:16" ht="15.75" customHeight="1" x14ac:dyDescent="0.25">
      <c r="A573" s="50"/>
      <c r="D573" s="51"/>
      <c r="E573" s="51"/>
      <c r="K573" s="51"/>
      <c r="L573" s="52"/>
      <c r="P573" s="41"/>
    </row>
    <row r="574" spans="1:16" ht="15.75" customHeight="1" x14ac:dyDescent="0.25">
      <c r="A574" s="50"/>
      <c r="D574" s="51"/>
      <c r="E574" s="51"/>
      <c r="K574" s="51"/>
      <c r="L574" s="52"/>
      <c r="P574" s="41"/>
    </row>
    <row r="575" spans="1:16" ht="15.75" customHeight="1" x14ac:dyDescent="0.25">
      <c r="A575" s="50"/>
      <c r="D575" s="51"/>
      <c r="E575" s="51"/>
      <c r="K575" s="51"/>
      <c r="L575" s="52"/>
      <c r="P575" s="41"/>
    </row>
    <row r="576" spans="1:16" ht="15.75" customHeight="1" x14ac:dyDescent="0.25">
      <c r="A576" s="50"/>
      <c r="D576" s="51"/>
      <c r="E576" s="51"/>
      <c r="K576" s="51"/>
      <c r="L576" s="52"/>
      <c r="P576" s="41"/>
    </row>
    <row r="577" spans="1:16" ht="15.75" customHeight="1" x14ac:dyDescent="0.25">
      <c r="A577" s="50"/>
      <c r="D577" s="51"/>
      <c r="E577" s="51"/>
      <c r="K577" s="51"/>
      <c r="L577" s="52"/>
      <c r="P577" s="41"/>
    </row>
    <row r="578" spans="1:16" ht="15.75" customHeight="1" x14ac:dyDescent="0.25">
      <c r="A578" s="50"/>
      <c r="D578" s="51"/>
      <c r="E578" s="51"/>
      <c r="K578" s="51"/>
      <c r="L578" s="52"/>
      <c r="P578" s="41"/>
    </row>
    <row r="579" spans="1:16" ht="15.75" customHeight="1" x14ac:dyDescent="0.25">
      <c r="A579" s="50"/>
      <c r="D579" s="51"/>
      <c r="E579" s="51"/>
      <c r="K579" s="51"/>
      <c r="L579" s="52"/>
      <c r="P579" s="41"/>
    </row>
    <row r="580" spans="1:16" ht="15.75" customHeight="1" x14ac:dyDescent="0.25">
      <c r="A580" s="50"/>
      <c r="D580" s="51"/>
      <c r="E580" s="51"/>
      <c r="K580" s="51"/>
      <c r="L580" s="52"/>
      <c r="P580" s="41"/>
    </row>
    <row r="581" spans="1:16" ht="15.75" customHeight="1" x14ac:dyDescent="0.25">
      <c r="A581" s="50"/>
      <c r="D581" s="51"/>
      <c r="E581" s="51"/>
      <c r="K581" s="51"/>
      <c r="L581" s="52"/>
      <c r="P581" s="41"/>
    </row>
    <row r="582" spans="1:16" ht="15.75" customHeight="1" x14ac:dyDescent="0.25">
      <c r="A582" s="50"/>
      <c r="D582" s="51"/>
      <c r="E582" s="51"/>
      <c r="K582" s="51"/>
      <c r="L582" s="52"/>
      <c r="P582" s="41"/>
    </row>
    <row r="583" spans="1:16" ht="15.75" customHeight="1" x14ac:dyDescent="0.25">
      <c r="A583" s="50"/>
      <c r="D583" s="51"/>
      <c r="E583" s="51"/>
      <c r="K583" s="51"/>
      <c r="L583" s="52"/>
      <c r="P583" s="41"/>
    </row>
    <row r="584" spans="1:16" ht="15.75" customHeight="1" x14ac:dyDescent="0.25">
      <c r="A584" s="50"/>
      <c r="D584" s="51"/>
      <c r="E584" s="51"/>
      <c r="K584" s="51"/>
      <c r="L584" s="52"/>
      <c r="P584" s="41"/>
    </row>
    <row r="585" spans="1:16" ht="15.75" customHeight="1" x14ac:dyDescent="0.25">
      <c r="A585" s="50"/>
      <c r="D585" s="51"/>
      <c r="E585" s="51"/>
      <c r="K585" s="51"/>
      <c r="L585" s="52"/>
      <c r="P585" s="41"/>
    </row>
    <row r="586" spans="1:16" ht="15.75" customHeight="1" x14ac:dyDescent="0.25">
      <c r="A586" s="50"/>
      <c r="D586" s="51"/>
      <c r="E586" s="51"/>
      <c r="K586" s="51"/>
      <c r="L586" s="52"/>
      <c r="P586" s="41"/>
    </row>
    <row r="587" spans="1:16" ht="15.75" customHeight="1" x14ac:dyDescent="0.25">
      <c r="A587" s="50"/>
      <c r="D587" s="51"/>
      <c r="E587" s="51"/>
      <c r="K587" s="51"/>
      <c r="L587" s="52"/>
      <c r="P587" s="41"/>
    </row>
    <row r="588" spans="1:16" ht="15.75" customHeight="1" x14ac:dyDescent="0.25">
      <c r="A588" s="50"/>
      <c r="D588" s="51"/>
      <c r="E588" s="51"/>
      <c r="K588" s="51"/>
      <c r="L588" s="52"/>
      <c r="P588" s="41"/>
    </row>
    <row r="589" spans="1:16" ht="15.75" customHeight="1" x14ac:dyDescent="0.25">
      <c r="A589" s="50"/>
      <c r="D589" s="51"/>
      <c r="E589" s="51"/>
      <c r="K589" s="51"/>
      <c r="L589" s="52"/>
      <c r="P589" s="41"/>
    </row>
    <row r="590" spans="1:16" ht="15.75" customHeight="1" x14ac:dyDescent="0.25">
      <c r="A590" s="50"/>
      <c r="D590" s="51"/>
      <c r="E590" s="51"/>
      <c r="K590" s="51"/>
      <c r="L590" s="52"/>
      <c r="P590" s="41"/>
    </row>
    <row r="591" spans="1:16" ht="15.75" customHeight="1" x14ac:dyDescent="0.25">
      <c r="A591" s="50"/>
      <c r="D591" s="51"/>
      <c r="E591" s="51"/>
      <c r="K591" s="51"/>
      <c r="L591" s="52"/>
      <c r="P591" s="41"/>
    </row>
    <row r="592" spans="1:16" ht="15.75" customHeight="1" x14ac:dyDescent="0.25">
      <c r="A592" s="50"/>
      <c r="D592" s="51"/>
      <c r="E592" s="51"/>
      <c r="K592" s="51"/>
      <c r="L592" s="52"/>
      <c r="P592" s="41"/>
    </row>
    <row r="593" spans="1:16" ht="15.75" customHeight="1" x14ac:dyDescent="0.25">
      <c r="A593" s="50"/>
      <c r="D593" s="51"/>
      <c r="E593" s="51"/>
      <c r="K593" s="51"/>
      <c r="L593" s="52"/>
      <c r="P593" s="41"/>
    </row>
    <row r="594" spans="1:16" ht="15.75" customHeight="1" x14ac:dyDescent="0.25">
      <c r="A594" s="50"/>
      <c r="D594" s="51"/>
      <c r="E594" s="51"/>
      <c r="K594" s="51"/>
      <c r="L594" s="52"/>
      <c r="P594" s="41"/>
    </row>
    <row r="595" spans="1:16" ht="15.75" customHeight="1" x14ac:dyDescent="0.25">
      <c r="A595" s="50"/>
      <c r="D595" s="51"/>
      <c r="E595" s="51"/>
      <c r="K595" s="51"/>
      <c r="L595" s="52"/>
      <c r="P595" s="41"/>
    </row>
    <row r="596" spans="1:16" ht="15.75" customHeight="1" x14ac:dyDescent="0.25">
      <c r="A596" s="50"/>
      <c r="D596" s="51"/>
      <c r="E596" s="51"/>
      <c r="K596" s="51"/>
      <c r="L596" s="52"/>
      <c r="P596" s="41"/>
    </row>
    <row r="597" spans="1:16" ht="15.75" customHeight="1" x14ac:dyDescent="0.25">
      <c r="A597" s="50"/>
      <c r="D597" s="51"/>
      <c r="E597" s="51"/>
      <c r="K597" s="51"/>
      <c r="L597" s="52"/>
      <c r="P597" s="41"/>
    </row>
    <row r="598" spans="1:16" ht="15.75" customHeight="1" x14ac:dyDescent="0.25">
      <c r="A598" s="50"/>
      <c r="D598" s="51"/>
      <c r="E598" s="51"/>
      <c r="K598" s="51"/>
      <c r="L598" s="52"/>
      <c r="P598" s="41"/>
    </row>
    <row r="599" spans="1:16" ht="15.75" customHeight="1" x14ac:dyDescent="0.25">
      <c r="A599" s="50"/>
      <c r="D599" s="51"/>
      <c r="E599" s="51"/>
      <c r="K599" s="51"/>
      <c r="L599" s="52"/>
      <c r="P599" s="41"/>
    </row>
    <row r="600" spans="1:16" ht="15.75" customHeight="1" x14ac:dyDescent="0.25">
      <c r="A600" s="50"/>
      <c r="D600" s="51"/>
      <c r="E600" s="51"/>
      <c r="K600" s="51"/>
      <c r="L600" s="52"/>
      <c r="P600" s="41"/>
    </row>
    <row r="601" spans="1:16" ht="15.75" customHeight="1" x14ac:dyDescent="0.25">
      <c r="A601" s="50"/>
      <c r="D601" s="51"/>
      <c r="E601" s="51"/>
      <c r="K601" s="51"/>
      <c r="L601" s="52"/>
      <c r="P601" s="41"/>
    </row>
    <row r="602" spans="1:16" ht="15.75" customHeight="1" x14ac:dyDescent="0.25">
      <c r="A602" s="50"/>
      <c r="D602" s="51"/>
      <c r="E602" s="51"/>
      <c r="K602" s="51"/>
      <c r="L602" s="52"/>
      <c r="P602" s="41"/>
    </row>
    <row r="603" spans="1:16" ht="15.75" customHeight="1" x14ac:dyDescent="0.25">
      <c r="A603" s="50"/>
      <c r="D603" s="51"/>
      <c r="E603" s="51"/>
      <c r="K603" s="51"/>
      <c r="L603" s="52"/>
      <c r="P603" s="41"/>
    </row>
    <row r="604" spans="1:16" ht="15.75" customHeight="1" x14ac:dyDescent="0.25">
      <c r="A604" s="50"/>
      <c r="D604" s="51"/>
      <c r="E604" s="51"/>
      <c r="K604" s="51"/>
      <c r="L604" s="52"/>
      <c r="P604" s="41"/>
    </row>
    <row r="605" spans="1:16" ht="15.75" customHeight="1" x14ac:dyDescent="0.25">
      <c r="A605" s="50"/>
      <c r="D605" s="51"/>
      <c r="E605" s="51"/>
      <c r="K605" s="51"/>
      <c r="L605" s="52"/>
      <c r="P605" s="41"/>
    </row>
    <row r="606" spans="1:16" ht="15.75" customHeight="1" x14ac:dyDescent="0.25">
      <c r="A606" s="50"/>
      <c r="D606" s="51"/>
      <c r="E606" s="51"/>
      <c r="K606" s="51"/>
      <c r="L606" s="52"/>
      <c r="P606" s="41"/>
    </row>
    <row r="607" spans="1:16" ht="15.75" customHeight="1" x14ac:dyDescent="0.25">
      <c r="A607" s="50"/>
      <c r="D607" s="51"/>
      <c r="E607" s="51"/>
      <c r="K607" s="51"/>
      <c r="L607" s="52"/>
      <c r="P607" s="41"/>
    </row>
    <row r="608" spans="1:16" ht="15.75" customHeight="1" x14ac:dyDescent="0.25">
      <c r="A608" s="50"/>
      <c r="D608" s="51"/>
      <c r="E608" s="51"/>
      <c r="K608" s="51"/>
      <c r="L608" s="52"/>
      <c r="P608" s="41"/>
    </row>
    <row r="609" spans="1:16" ht="15.75" customHeight="1" x14ac:dyDescent="0.25">
      <c r="A609" s="50"/>
      <c r="D609" s="51"/>
      <c r="E609" s="51"/>
      <c r="K609" s="51"/>
      <c r="L609" s="52"/>
      <c r="P609" s="41"/>
    </row>
    <row r="610" spans="1:16" ht="15.75" customHeight="1" x14ac:dyDescent="0.25">
      <c r="A610" s="50"/>
      <c r="D610" s="51"/>
      <c r="E610" s="51"/>
      <c r="K610" s="51"/>
      <c r="L610" s="52"/>
      <c r="P610" s="41"/>
    </row>
    <row r="611" spans="1:16" ht="15.75" customHeight="1" x14ac:dyDescent="0.25">
      <c r="A611" s="50"/>
      <c r="D611" s="51"/>
      <c r="E611" s="51"/>
      <c r="K611" s="51"/>
      <c r="L611" s="52"/>
      <c r="P611" s="41"/>
    </row>
    <row r="612" spans="1:16" ht="15.75" customHeight="1" x14ac:dyDescent="0.25">
      <c r="A612" s="50"/>
      <c r="D612" s="51"/>
      <c r="E612" s="51"/>
      <c r="K612" s="51"/>
      <c r="L612" s="52"/>
      <c r="P612" s="41"/>
    </row>
    <row r="613" spans="1:16" ht="15.75" customHeight="1" x14ac:dyDescent="0.25">
      <c r="A613" s="50"/>
      <c r="D613" s="51"/>
      <c r="E613" s="51"/>
      <c r="K613" s="51"/>
      <c r="L613" s="52"/>
      <c r="P613" s="41"/>
    </row>
    <row r="614" spans="1:16" ht="15.75" customHeight="1" x14ac:dyDescent="0.25">
      <c r="A614" s="50"/>
      <c r="D614" s="51"/>
      <c r="E614" s="51"/>
      <c r="K614" s="51"/>
      <c r="L614" s="52"/>
      <c r="P614" s="41"/>
    </row>
    <row r="615" spans="1:16" ht="15.75" customHeight="1" x14ac:dyDescent="0.25">
      <c r="A615" s="50"/>
      <c r="D615" s="51"/>
      <c r="E615" s="51"/>
      <c r="K615" s="51"/>
      <c r="L615" s="52"/>
      <c r="P615" s="41"/>
    </row>
    <row r="616" spans="1:16" ht="15.75" customHeight="1" x14ac:dyDescent="0.25">
      <c r="A616" s="50"/>
      <c r="D616" s="51"/>
      <c r="E616" s="51"/>
      <c r="K616" s="51"/>
      <c r="L616" s="52"/>
      <c r="P616" s="41"/>
    </row>
    <row r="617" spans="1:16" ht="15.75" customHeight="1" x14ac:dyDescent="0.25">
      <c r="A617" s="50"/>
      <c r="D617" s="51"/>
      <c r="E617" s="51"/>
      <c r="K617" s="51"/>
      <c r="L617" s="52"/>
      <c r="P617" s="41"/>
    </row>
    <row r="618" spans="1:16" ht="15.75" customHeight="1" x14ac:dyDescent="0.25">
      <c r="A618" s="50"/>
      <c r="D618" s="51"/>
      <c r="E618" s="51"/>
      <c r="K618" s="51"/>
      <c r="L618" s="52"/>
      <c r="P618" s="41"/>
    </row>
    <row r="619" spans="1:16" ht="15.75" customHeight="1" x14ac:dyDescent="0.25">
      <c r="A619" s="50"/>
      <c r="D619" s="51"/>
      <c r="E619" s="51"/>
      <c r="K619" s="51"/>
      <c r="L619" s="52"/>
      <c r="P619" s="41"/>
    </row>
    <row r="620" spans="1:16" ht="15.75" customHeight="1" x14ac:dyDescent="0.25">
      <c r="A620" s="50"/>
      <c r="D620" s="51"/>
      <c r="E620" s="51"/>
      <c r="K620" s="51"/>
      <c r="L620" s="52"/>
      <c r="P620" s="41"/>
    </row>
    <row r="621" spans="1:16" ht="15.75" customHeight="1" x14ac:dyDescent="0.25">
      <c r="A621" s="50"/>
      <c r="D621" s="51"/>
      <c r="E621" s="51"/>
      <c r="K621" s="51"/>
      <c r="L621" s="52"/>
      <c r="P621" s="41"/>
    </row>
    <row r="622" spans="1:16" ht="15.75" customHeight="1" x14ac:dyDescent="0.25">
      <c r="A622" s="50"/>
      <c r="D622" s="51"/>
      <c r="E622" s="51"/>
      <c r="K622" s="51"/>
      <c r="L622" s="52"/>
      <c r="P622" s="41"/>
    </row>
    <row r="623" spans="1:16" ht="15.75" customHeight="1" x14ac:dyDescent="0.25">
      <c r="A623" s="50"/>
      <c r="D623" s="51"/>
      <c r="E623" s="51"/>
      <c r="K623" s="51"/>
      <c r="L623" s="52"/>
      <c r="P623" s="41"/>
    </row>
    <row r="624" spans="1:16" ht="15.75" customHeight="1" x14ac:dyDescent="0.25">
      <c r="A624" s="50"/>
      <c r="D624" s="51"/>
      <c r="E624" s="51"/>
      <c r="K624" s="51"/>
      <c r="L624" s="52"/>
      <c r="P624" s="41"/>
    </row>
    <row r="625" spans="1:16" ht="15.75" customHeight="1" x14ac:dyDescent="0.25">
      <c r="A625" s="50"/>
      <c r="D625" s="51"/>
      <c r="E625" s="51"/>
      <c r="K625" s="51"/>
      <c r="L625" s="52"/>
      <c r="P625" s="41"/>
    </row>
    <row r="626" spans="1:16" ht="15.75" customHeight="1" x14ac:dyDescent="0.25">
      <c r="A626" s="50"/>
      <c r="D626" s="51"/>
      <c r="E626" s="51"/>
      <c r="K626" s="51"/>
      <c r="L626" s="52"/>
      <c r="P626" s="41"/>
    </row>
    <row r="627" spans="1:16" ht="15.75" customHeight="1" x14ac:dyDescent="0.25">
      <c r="A627" s="50"/>
      <c r="D627" s="51"/>
      <c r="E627" s="51"/>
      <c r="K627" s="51"/>
      <c r="L627" s="52"/>
      <c r="P627" s="41"/>
    </row>
    <row r="628" spans="1:16" ht="15.75" customHeight="1" x14ac:dyDescent="0.25">
      <c r="A628" s="50"/>
      <c r="D628" s="51"/>
      <c r="E628" s="51"/>
      <c r="K628" s="51"/>
      <c r="L628" s="52"/>
      <c r="P628" s="41"/>
    </row>
    <row r="629" spans="1:16" ht="15.75" customHeight="1" x14ac:dyDescent="0.25">
      <c r="A629" s="50"/>
      <c r="D629" s="51"/>
      <c r="E629" s="51"/>
      <c r="K629" s="51"/>
      <c r="L629" s="52"/>
      <c r="P629" s="41"/>
    </row>
    <row r="630" spans="1:16" ht="15.75" customHeight="1" x14ac:dyDescent="0.25">
      <c r="A630" s="50"/>
      <c r="D630" s="51"/>
      <c r="E630" s="51"/>
      <c r="K630" s="51"/>
      <c r="L630" s="52"/>
      <c r="P630" s="41"/>
    </row>
    <row r="631" spans="1:16" ht="15.75" customHeight="1" x14ac:dyDescent="0.25">
      <c r="A631" s="50"/>
      <c r="D631" s="51"/>
      <c r="E631" s="51"/>
      <c r="K631" s="51"/>
      <c r="L631" s="52"/>
      <c r="P631" s="41"/>
    </row>
    <row r="632" spans="1:16" ht="15.75" customHeight="1" x14ac:dyDescent="0.25">
      <c r="A632" s="50"/>
      <c r="D632" s="51"/>
      <c r="E632" s="51"/>
      <c r="K632" s="51"/>
      <c r="L632" s="52"/>
      <c r="P632" s="41"/>
    </row>
    <row r="633" spans="1:16" ht="15.75" customHeight="1" x14ac:dyDescent="0.25">
      <c r="A633" s="50"/>
      <c r="D633" s="51"/>
      <c r="E633" s="51"/>
      <c r="K633" s="51"/>
      <c r="L633" s="52"/>
      <c r="P633" s="41"/>
    </row>
    <row r="634" spans="1:16" ht="15.75" customHeight="1" x14ac:dyDescent="0.25">
      <c r="A634" s="50"/>
      <c r="D634" s="51"/>
      <c r="E634" s="51"/>
      <c r="K634" s="51"/>
      <c r="L634" s="52"/>
      <c r="P634" s="41"/>
    </row>
    <row r="635" spans="1:16" ht="15.75" customHeight="1" x14ac:dyDescent="0.25">
      <c r="A635" s="50"/>
      <c r="D635" s="51"/>
      <c r="E635" s="51"/>
      <c r="K635" s="51"/>
      <c r="L635" s="52"/>
      <c r="P635" s="41"/>
    </row>
    <row r="636" spans="1:16" ht="15.75" customHeight="1" x14ac:dyDescent="0.25">
      <c r="A636" s="50"/>
      <c r="D636" s="51"/>
      <c r="E636" s="51"/>
      <c r="K636" s="51"/>
      <c r="L636" s="52"/>
      <c r="P636" s="41"/>
    </row>
    <row r="637" spans="1:16" ht="15.75" customHeight="1" x14ac:dyDescent="0.25">
      <c r="A637" s="50"/>
      <c r="D637" s="51"/>
      <c r="E637" s="51"/>
      <c r="K637" s="51"/>
      <c r="L637" s="52"/>
      <c r="P637" s="41"/>
    </row>
    <row r="638" spans="1:16" ht="15.75" customHeight="1" x14ac:dyDescent="0.25">
      <c r="A638" s="50"/>
      <c r="D638" s="51"/>
      <c r="E638" s="51"/>
      <c r="K638" s="51"/>
      <c r="L638" s="52"/>
      <c r="P638" s="41"/>
    </row>
    <row r="639" spans="1:16" ht="15.75" customHeight="1" x14ac:dyDescent="0.25">
      <c r="A639" s="50"/>
      <c r="D639" s="51"/>
      <c r="E639" s="51"/>
      <c r="K639" s="51"/>
      <c r="L639" s="52"/>
      <c r="P639" s="41"/>
    </row>
    <row r="640" spans="1:16" ht="15.75" customHeight="1" x14ac:dyDescent="0.25">
      <c r="A640" s="50"/>
      <c r="D640" s="51"/>
      <c r="E640" s="51"/>
      <c r="K640" s="51"/>
      <c r="L640" s="52"/>
      <c r="P640" s="41"/>
    </row>
    <row r="641" spans="1:16" ht="15.75" customHeight="1" x14ac:dyDescent="0.25">
      <c r="A641" s="50"/>
      <c r="D641" s="51"/>
      <c r="E641" s="51"/>
      <c r="K641" s="51"/>
      <c r="L641" s="52"/>
      <c r="P641" s="41"/>
    </row>
    <row r="642" spans="1:16" ht="15.75" customHeight="1" x14ac:dyDescent="0.25">
      <c r="A642" s="50"/>
      <c r="D642" s="51"/>
      <c r="E642" s="51"/>
      <c r="K642" s="51"/>
      <c r="L642" s="52"/>
      <c r="P642" s="41"/>
    </row>
    <row r="643" spans="1:16" ht="15.75" customHeight="1" x14ac:dyDescent="0.25">
      <c r="A643" s="50"/>
      <c r="D643" s="51"/>
      <c r="E643" s="51"/>
      <c r="K643" s="51"/>
      <c r="L643" s="52"/>
      <c r="P643" s="41"/>
    </row>
    <row r="644" spans="1:16" ht="15.75" customHeight="1" x14ac:dyDescent="0.25">
      <c r="A644" s="50"/>
      <c r="D644" s="51"/>
      <c r="E644" s="51"/>
      <c r="K644" s="51"/>
      <c r="L644" s="52"/>
      <c r="P644" s="41"/>
    </row>
    <row r="645" spans="1:16" ht="15.75" customHeight="1" x14ac:dyDescent="0.25">
      <c r="A645" s="50"/>
      <c r="D645" s="51"/>
      <c r="E645" s="51"/>
      <c r="K645" s="51"/>
      <c r="L645" s="52"/>
      <c r="P645" s="41"/>
    </row>
    <row r="646" spans="1:16" ht="15.75" customHeight="1" x14ac:dyDescent="0.25">
      <c r="A646" s="50"/>
      <c r="D646" s="51"/>
      <c r="E646" s="51"/>
      <c r="K646" s="51"/>
      <c r="L646" s="52"/>
      <c r="P646" s="41"/>
    </row>
    <row r="647" spans="1:16" ht="15.75" customHeight="1" x14ac:dyDescent="0.25">
      <c r="A647" s="50"/>
      <c r="D647" s="51"/>
      <c r="E647" s="51"/>
      <c r="K647" s="51"/>
      <c r="L647" s="52"/>
      <c r="P647" s="41"/>
    </row>
    <row r="648" spans="1:16" ht="15.75" customHeight="1" x14ac:dyDescent="0.25">
      <c r="A648" s="50"/>
      <c r="D648" s="51"/>
      <c r="E648" s="51"/>
      <c r="K648" s="51"/>
      <c r="L648" s="52"/>
      <c r="P648" s="41"/>
    </row>
    <row r="649" spans="1:16" ht="15.75" customHeight="1" x14ac:dyDescent="0.25">
      <c r="A649" s="50"/>
      <c r="D649" s="51"/>
      <c r="E649" s="51"/>
      <c r="K649" s="51"/>
      <c r="L649" s="52"/>
      <c r="P649" s="41"/>
    </row>
    <row r="650" spans="1:16" ht="15.75" customHeight="1" x14ac:dyDescent="0.25">
      <c r="A650" s="50"/>
      <c r="D650" s="51"/>
      <c r="E650" s="51"/>
      <c r="K650" s="51"/>
      <c r="L650" s="52"/>
      <c r="P650" s="41"/>
    </row>
    <row r="651" spans="1:16" ht="15.75" customHeight="1" x14ac:dyDescent="0.25">
      <c r="A651" s="50"/>
      <c r="D651" s="51"/>
      <c r="E651" s="51"/>
      <c r="K651" s="51"/>
      <c r="L651" s="52"/>
      <c r="P651" s="41"/>
    </row>
    <row r="652" spans="1:16" ht="15.75" customHeight="1" x14ac:dyDescent="0.25">
      <c r="A652" s="50"/>
      <c r="D652" s="51"/>
      <c r="E652" s="51"/>
      <c r="K652" s="51"/>
      <c r="L652" s="52"/>
      <c r="P652" s="41"/>
    </row>
    <row r="653" spans="1:16" ht="15.75" customHeight="1" x14ac:dyDescent="0.25">
      <c r="A653" s="50"/>
      <c r="D653" s="51"/>
      <c r="E653" s="51"/>
      <c r="K653" s="51"/>
      <c r="L653" s="52"/>
      <c r="P653" s="41"/>
    </row>
    <row r="654" spans="1:16" ht="15.75" customHeight="1" x14ac:dyDescent="0.25">
      <c r="A654" s="50"/>
      <c r="D654" s="51"/>
      <c r="E654" s="51"/>
      <c r="K654" s="51"/>
      <c r="L654" s="52"/>
      <c r="P654" s="41"/>
    </row>
    <row r="655" spans="1:16" ht="15.75" customHeight="1" x14ac:dyDescent="0.25">
      <c r="A655" s="50"/>
      <c r="D655" s="51"/>
      <c r="E655" s="51"/>
      <c r="K655" s="51"/>
      <c r="L655" s="52"/>
      <c r="P655" s="41"/>
    </row>
    <row r="656" spans="1:16" ht="15.75" customHeight="1" x14ac:dyDescent="0.25">
      <c r="A656" s="50"/>
      <c r="D656" s="51"/>
      <c r="E656" s="51"/>
      <c r="K656" s="51"/>
      <c r="L656" s="52"/>
      <c r="P656" s="41"/>
    </row>
    <row r="657" spans="1:16" ht="15.75" customHeight="1" x14ac:dyDescent="0.25">
      <c r="A657" s="50"/>
      <c r="D657" s="51"/>
      <c r="E657" s="51"/>
      <c r="K657" s="51"/>
      <c r="L657" s="52"/>
      <c r="P657" s="41"/>
    </row>
    <row r="658" spans="1:16" ht="15.75" customHeight="1" x14ac:dyDescent="0.25">
      <c r="A658" s="50"/>
      <c r="D658" s="51"/>
      <c r="E658" s="51"/>
      <c r="K658" s="51"/>
      <c r="L658" s="52"/>
      <c r="P658" s="41"/>
    </row>
    <row r="659" spans="1:16" ht="15.75" customHeight="1" x14ac:dyDescent="0.25">
      <c r="A659" s="50"/>
      <c r="D659" s="51"/>
      <c r="E659" s="51"/>
      <c r="K659" s="51"/>
      <c r="L659" s="52"/>
      <c r="P659" s="41"/>
    </row>
    <row r="660" spans="1:16" ht="15.75" customHeight="1" x14ac:dyDescent="0.25">
      <c r="A660" s="50"/>
      <c r="D660" s="51"/>
      <c r="E660" s="51"/>
      <c r="K660" s="51"/>
      <c r="L660" s="52"/>
      <c r="P660" s="41"/>
    </row>
    <row r="661" spans="1:16" ht="15.75" customHeight="1" x14ac:dyDescent="0.25">
      <c r="A661" s="50"/>
      <c r="D661" s="51"/>
      <c r="E661" s="51"/>
      <c r="K661" s="51"/>
      <c r="L661" s="52"/>
      <c r="P661" s="41"/>
    </row>
    <row r="662" spans="1:16" ht="15.75" customHeight="1" x14ac:dyDescent="0.25">
      <c r="A662" s="50"/>
      <c r="D662" s="51"/>
      <c r="E662" s="51"/>
      <c r="K662" s="51"/>
      <c r="L662" s="52"/>
      <c r="P662" s="41"/>
    </row>
    <row r="663" spans="1:16" ht="15.75" customHeight="1" x14ac:dyDescent="0.25">
      <c r="A663" s="50"/>
      <c r="D663" s="51"/>
      <c r="E663" s="51"/>
      <c r="K663" s="51"/>
      <c r="L663" s="52"/>
      <c r="P663" s="41"/>
    </row>
    <row r="664" spans="1:16" ht="15.75" customHeight="1" x14ac:dyDescent="0.25">
      <c r="A664" s="50"/>
      <c r="D664" s="51"/>
      <c r="E664" s="51"/>
      <c r="K664" s="51"/>
      <c r="L664" s="52"/>
      <c r="P664" s="41"/>
    </row>
    <row r="665" spans="1:16" ht="15.75" customHeight="1" x14ac:dyDescent="0.25">
      <c r="A665" s="50"/>
      <c r="D665" s="51"/>
      <c r="E665" s="51"/>
      <c r="K665" s="51"/>
      <c r="L665" s="52"/>
      <c r="P665" s="41"/>
    </row>
    <row r="666" spans="1:16" ht="15.75" customHeight="1" x14ac:dyDescent="0.25">
      <c r="A666" s="50"/>
      <c r="D666" s="51"/>
      <c r="E666" s="51"/>
      <c r="K666" s="51"/>
      <c r="L666" s="52"/>
      <c r="P666" s="41"/>
    </row>
    <row r="667" spans="1:16" ht="15.75" customHeight="1" x14ac:dyDescent="0.25">
      <c r="A667" s="50"/>
      <c r="D667" s="51"/>
      <c r="E667" s="51"/>
      <c r="K667" s="51"/>
      <c r="L667" s="52"/>
      <c r="P667" s="41"/>
    </row>
    <row r="668" spans="1:16" ht="15.75" customHeight="1" x14ac:dyDescent="0.25">
      <c r="A668" s="50"/>
      <c r="D668" s="51"/>
      <c r="E668" s="51"/>
      <c r="K668" s="51"/>
      <c r="L668" s="52"/>
      <c r="P668" s="41"/>
    </row>
    <row r="669" spans="1:16" ht="15.75" customHeight="1" x14ac:dyDescent="0.25">
      <c r="A669" s="50"/>
      <c r="D669" s="51"/>
      <c r="E669" s="51"/>
      <c r="K669" s="51"/>
      <c r="L669" s="52"/>
      <c r="P669" s="41"/>
    </row>
    <row r="670" spans="1:16" ht="15.75" customHeight="1" x14ac:dyDescent="0.25">
      <c r="A670" s="50"/>
      <c r="D670" s="51"/>
      <c r="E670" s="51"/>
      <c r="K670" s="51"/>
      <c r="L670" s="52"/>
      <c r="P670" s="41"/>
    </row>
    <row r="671" spans="1:16" ht="15.75" customHeight="1" x14ac:dyDescent="0.25">
      <c r="A671" s="50"/>
      <c r="D671" s="51"/>
      <c r="E671" s="51"/>
      <c r="K671" s="51"/>
      <c r="L671" s="52"/>
      <c r="P671" s="41"/>
    </row>
    <row r="672" spans="1:16" ht="15.75" customHeight="1" x14ac:dyDescent="0.25">
      <c r="A672" s="50"/>
      <c r="D672" s="51"/>
      <c r="E672" s="51"/>
      <c r="K672" s="51"/>
      <c r="L672" s="52"/>
      <c r="P672" s="41"/>
    </row>
    <row r="673" spans="1:16" ht="15.75" customHeight="1" x14ac:dyDescent="0.25">
      <c r="A673" s="50"/>
      <c r="D673" s="51"/>
      <c r="E673" s="51"/>
      <c r="K673" s="51"/>
      <c r="L673" s="52"/>
      <c r="P673" s="41"/>
    </row>
    <row r="674" spans="1:16" ht="15.75" customHeight="1" x14ac:dyDescent="0.25">
      <c r="A674" s="50"/>
      <c r="D674" s="51"/>
      <c r="E674" s="51"/>
      <c r="K674" s="51"/>
      <c r="L674" s="52"/>
      <c r="P674" s="41"/>
    </row>
    <row r="675" spans="1:16" ht="15.75" customHeight="1" x14ac:dyDescent="0.25">
      <c r="A675" s="50"/>
      <c r="D675" s="51"/>
      <c r="E675" s="51"/>
      <c r="K675" s="51"/>
      <c r="L675" s="52"/>
      <c r="P675" s="41"/>
    </row>
    <row r="676" spans="1:16" ht="15.75" customHeight="1" x14ac:dyDescent="0.25">
      <c r="A676" s="50"/>
      <c r="D676" s="51"/>
      <c r="E676" s="51"/>
      <c r="K676" s="51"/>
      <c r="L676" s="52"/>
      <c r="P676" s="41"/>
    </row>
    <row r="677" spans="1:16" ht="15.75" customHeight="1" x14ac:dyDescent="0.25">
      <c r="A677" s="50"/>
      <c r="D677" s="51"/>
      <c r="E677" s="51"/>
      <c r="K677" s="51"/>
      <c r="L677" s="52"/>
      <c r="P677" s="41"/>
    </row>
    <row r="678" spans="1:16" ht="15.75" customHeight="1" x14ac:dyDescent="0.25">
      <c r="A678" s="50"/>
      <c r="D678" s="51"/>
      <c r="E678" s="51"/>
      <c r="K678" s="51"/>
      <c r="L678" s="52"/>
      <c r="P678" s="41"/>
    </row>
    <row r="679" spans="1:16" ht="15.75" customHeight="1" x14ac:dyDescent="0.25">
      <c r="A679" s="50"/>
      <c r="D679" s="51"/>
      <c r="E679" s="51"/>
      <c r="K679" s="51"/>
      <c r="L679" s="52"/>
      <c r="P679" s="41"/>
    </row>
    <row r="680" spans="1:16" ht="15.75" customHeight="1" x14ac:dyDescent="0.25">
      <c r="A680" s="50"/>
      <c r="D680" s="51"/>
      <c r="E680" s="51"/>
      <c r="K680" s="51"/>
      <c r="L680" s="52"/>
      <c r="P680" s="41"/>
    </row>
    <row r="681" spans="1:16" ht="15.75" customHeight="1" x14ac:dyDescent="0.25">
      <c r="A681" s="50"/>
      <c r="D681" s="51"/>
      <c r="E681" s="51"/>
      <c r="K681" s="51"/>
      <c r="L681" s="52"/>
      <c r="P681" s="41"/>
    </row>
    <row r="682" spans="1:16" ht="15.75" customHeight="1" x14ac:dyDescent="0.25">
      <c r="A682" s="50"/>
      <c r="D682" s="51"/>
      <c r="E682" s="51"/>
      <c r="K682" s="51"/>
      <c r="L682" s="52"/>
      <c r="P682" s="41"/>
    </row>
    <row r="683" spans="1:16" ht="15.75" customHeight="1" x14ac:dyDescent="0.25">
      <c r="A683" s="50"/>
      <c r="D683" s="51"/>
      <c r="E683" s="51"/>
      <c r="K683" s="51"/>
      <c r="L683" s="52"/>
      <c r="P683" s="41"/>
    </row>
    <row r="684" spans="1:16" ht="15.75" customHeight="1" x14ac:dyDescent="0.25">
      <c r="A684" s="50"/>
      <c r="D684" s="51"/>
      <c r="E684" s="51"/>
      <c r="K684" s="51"/>
      <c r="L684" s="52"/>
      <c r="P684" s="41"/>
    </row>
    <row r="685" spans="1:16" ht="15.75" customHeight="1" x14ac:dyDescent="0.25">
      <c r="A685" s="50"/>
      <c r="D685" s="51"/>
      <c r="E685" s="51"/>
      <c r="K685" s="51"/>
      <c r="L685" s="52"/>
      <c r="P685" s="41"/>
    </row>
    <row r="686" spans="1:16" ht="15.75" customHeight="1" x14ac:dyDescent="0.25">
      <c r="A686" s="50"/>
      <c r="D686" s="51"/>
      <c r="E686" s="51"/>
      <c r="K686" s="51"/>
      <c r="L686" s="52"/>
      <c r="P686" s="41"/>
    </row>
    <row r="687" spans="1:16" ht="15.75" customHeight="1" x14ac:dyDescent="0.25">
      <c r="A687" s="50"/>
      <c r="D687" s="51"/>
      <c r="E687" s="51"/>
      <c r="K687" s="51"/>
      <c r="L687" s="52"/>
      <c r="P687" s="41"/>
    </row>
    <row r="688" spans="1:16" ht="15.75" customHeight="1" x14ac:dyDescent="0.25">
      <c r="A688" s="50"/>
      <c r="D688" s="51"/>
      <c r="E688" s="51"/>
      <c r="K688" s="51"/>
      <c r="L688" s="52"/>
      <c r="P688" s="41"/>
    </row>
    <row r="689" spans="1:16" ht="15.75" customHeight="1" x14ac:dyDescent="0.25">
      <c r="A689" s="50"/>
      <c r="D689" s="51"/>
      <c r="E689" s="51"/>
      <c r="K689" s="51"/>
      <c r="L689" s="52"/>
      <c r="P689" s="41"/>
    </row>
    <row r="690" spans="1:16" ht="15.75" customHeight="1" x14ac:dyDescent="0.25">
      <c r="A690" s="50"/>
      <c r="D690" s="51"/>
      <c r="E690" s="51"/>
      <c r="K690" s="51"/>
      <c r="L690" s="52"/>
      <c r="P690" s="41"/>
    </row>
    <row r="691" spans="1:16" ht="15.75" customHeight="1" x14ac:dyDescent="0.25">
      <c r="A691" s="50"/>
      <c r="D691" s="51"/>
      <c r="E691" s="51"/>
      <c r="K691" s="51"/>
      <c r="L691" s="52"/>
      <c r="P691" s="41"/>
    </row>
    <row r="692" spans="1:16" ht="15.75" customHeight="1" x14ac:dyDescent="0.25">
      <c r="A692" s="50"/>
      <c r="D692" s="51"/>
      <c r="E692" s="51"/>
      <c r="K692" s="51"/>
      <c r="L692" s="52"/>
      <c r="P692" s="41"/>
    </row>
    <row r="693" spans="1:16" ht="15.75" customHeight="1" x14ac:dyDescent="0.25">
      <c r="A693" s="50"/>
      <c r="D693" s="51"/>
      <c r="E693" s="51"/>
      <c r="K693" s="51"/>
      <c r="L693" s="52"/>
      <c r="P693" s="41"/>
    </row>
    <row r="694" spans="1:16" ht="15.75" customHeight="1" x14ac:dyDescent="0.25">
      <c r="A694" s="50"/>
      <c r="D694" s="51"/>
      <c r="E694" s="51"/>
      <c r="K694" s="51"/>
      <c r="L694" s="52"/>
      <c r="P694" s="41"/>
    </row>
    <row r="695" spans="1:16" ht="15.75" customHeight="1" x14ac:dyDescent="0.25">
      <c r="A695" s="50"/>
      <c r="D695" s="51"/>
      <c r="E695" s="51"/>
      <c r="K695" s="51"/>
      <c r="L695" s="52"/>
      <c r="P695" s="41"/>
    </row>
    <row r="696" spans="1:16" ht="15.75" customHeight="1" x14ac:dyDescent="0.25">
      <c r="A696" s="50"/>
      <c r="D696" s="51"/>
      <c r="E696" s="51"/>
      <c r="K696" s="51"/>
      <c r="L696" s="52"/>
      <c r="P696" s="41"/>
    </row>
    <row r="697" spans="1:16" ht="15.75" customHeight="1" x14ac:dyDescent="0.25">
      <c r="A697" s="50"/>
      <c r="D697" s="51"/>
      <c r="E697" s="51"/>
      <c r="K697" s="51"/>
      <c r="L697" s="52"/>
      <c r="P697" s="41"/>
    </row>
    <row r="698" spans="1:16" ht="15.75" customHeight="1" x14ac:dyDescent="0.25">
      <c r="A698" s="50"/>
      <c r="D698" s="51"/>
      <c r="E698" s="51"/>
      <c r="K698" s="51"/>
      <c r="L698" s="52"/>
      <c r="P698" s="41"/>
    </row>
    <row r="699" spans="1:16" ht="15.75" customHeight="1" x14ac:dyDescent="0.25">
      <c r="A699" s="50"/>
      <c r="D699" s="51"/>
      <c r="E699" s="51"/>
      <c r="K699" s="51"/>
      <c r="L699" s="52"/>
      <c r="P699" s="41"/>
    </row>
    <row r="700" spans="1:16" ht="15.75" customHeight="1" x14ac:dyDescent="0.25">
      <c r="A700" s="50"/>
      <c r="D700" s="51"/>
      <c r="E700" s="51"/>
      <c r="K700" s="51"/>
      <c r="L700" s="52"/>
      <c r="P700" s="41"/>
    </row>
    <row r="701" spans="1:16" ht="15.75" customHeight="1" x14ac:dyDescent="0.25">
      <c r="A701" s="50"/>
      <c r="D701" s="51"/>
      <c r="E701" s="51"/>
      <c r="K701" s="51"/>
      <c r="L701" s="52"/>
      <c r="P701" s="41"/>
    </row>
    <row r="702" spans="1:16" ht="15.75" customHeight="1" x14ac:dyDescent="0.25">
      <c r="A702" s="50"/>
      <c r="D702" s="51"/>
      <c r="E702" s="51"/>
      <c r="K702" s="51"/>
      <c r="L702" s="52"/>
      <c r="P702" s="41"/>
    </row>
    <row r="703" spans="1:16" ht="15.75" customHeight="1" x14ac:dyDescent="0.25">
      <c r="A703" s="50"/>
      <c r="D703" s="51"/>
      <c r="E703" s="51"/>
      <c r="K703" s="51"/>
      <c r="L703" s="52"/>
      <c r="P703" s="41"/>
    </row>
    <row r="704" spans="1:16" ht="15.75" customHeight="1" x14ac:dyDescent="0.25">
      <c r="A704" s="50"/>
      <c r="D704" s="51"/>
      <c r="E704" s="51"/>
      <c r="K704" s="51"/>
      <c r="L704" s="52"/>
      <c r="P704" s="41"/>
    </row>
    <row r="705" spans="1:16" ht="15.75" customHeight="1" x14ac:dyDescent="0.25">
      <c r="A705" s="50"/>
      <c r="D705" s="51"/>
      <c r="E705" s="51"/>
      <c r="K705" s="51"/>
      <c r="L705" s="52"/>
      <c r="P705" s="41"/>
    </row>
    <row r="706" spans="1:16" ht="15.75" customHeight="1" x14ac:dyDescent="0.25">
      <c r="A706" s="50"/>
      <c r="D706" s="51"/>
      <c r="E706" s="51"/>
      <c r="K706" s="51"/>
      <c r="L706" s="52"/>
      <c r="P706" s="41"/>
    </row>
    <row r="707" spans="1:16" ht="15.75" customHeight="1" x14ac:dyDescent="0.25">
      <c r="A707" s="50"/>
      <c r="D707" s="51"/>
      <c r="E707" s="51"/>
      <c r="K707" s="51"/>
      <c r="L707" s="52"/>
      <c r="P707" s="41"/>
    </row>
    <row r="708" spans="1:16" ht="15.75" customHeight="1" x14ac:dyDescent="0.25">
      <c r="A708" s="50"/>
      <c r="D708" s="51"/>
      <c r="E708" s="51"/>
      <c r="K708" s="51"/>
      <c r="L708" s="52"/>
      <c r="P708" s="41"/>
    </row>
    <row r="709" spans="1:16" ht="15.75" customHeight="1" x14ac:dyDescent="0.25">
      <c r="A709" s="50"/>
      <c r="D709" s="51"/>
      <c r="E709" s="51"/>
      <c r="K709" s="51"/>
      <c r="L709" s="52"/>
      <c r="P709" s="41"/>
    </row>
    <row r="710" spans="1:16" ht="15.75" customHeight="1" x14ac:dyDescent="0.25">
      <c r="A710" s="50"/>
      <c r="D710" s="51"/>
      <c r="E710" s="51"/>
      <c r="K710" s="51"/>
      <c r="L710" s="52"/>
      <c r="P710" s="41"/>
    </row>
    <row r="711" spans="1:16" ht="15.75" customHeight="1" x14ac:dyDescent="0.25">
      <c r="A711" s="50"/>
      <c r="D711" s="51"/>
      <c r="E711" s="51"/>
      <c r="K711" s="51"/>
      <c r="L711" s="52"/>
      <c r="P711" s="41"/>
    </row>
    <row r="712" spans="1:16" ht="15.75" customHeight="1" x14ac:dyDescent="0.25">
      <c r="A712" s="50"/>
      <c r="D712" s="51"/>
      <c r="E712" s="51"/>
      <c r="K712" s="51"/>
      <c r="L712" s="52"/>
      <c r="P712" s="41"/>
    </row>
    <row r="713" spans="1:16" ht="15.75" customHeight="1" x14ac:dyDescent="0.25">
      <c r="A713" s="50"/>
      <c r="D713" s="51"/>
      <c r="E713" s="51"/>
      <c r="K713" s="51"/>
      <c r="L713" s="52"/>
      <c r="P713" s="41"/>
    </row>
    <row r="714" spans="1:16" ht="15.75" customHeight="1" x14ac:dyDescent="0.25">
      <c r="A714" s="50"/>
      <c r="D714" s="51"/>
      <c r="E714" s="51"/>
      <c r="K714" s="51"/>
      <c r="L714" s="52"/>
      <c r="P714" s="41"/>
    </row>
    <row r="715" spans="1:16" ht="15.75" customHeight="1" x14ac:dyDescent="0.25">
      <c r="A715" s="50"/>
      <c r="D715" s="51"/>
      <c r="E715" s="51"/>
      <c r="K715" s="51"/>
      <c r="L715" s="52"/>
      <c r="P715" s="41"/>
    </row>
    <row r="716" spans="1:16" ht="15.75" customHeight="1" x14ac:dyDescent="0.25">
      <c r="A716" s="50"/>
      <c r="D716" s="51"/>
      <c r="E716" s="51"/>
      <c r="K716" s="51"/>
      <c r="L716" s="52"/>
      <c r="P716" s="41"/>
    </row>
    <row r="717" spans="1:16" ht="15.75" customHeight="1" x14ac:dyDescent="0.25">
      <c r="A717" s="50"/>
      <c r="D717" s="51"/>
      <c r="E717" s="51"/>
      <c r="K717" s="51"/>
      <c r="L717" s="52"/>
      <c r="P717" s="41"/>
    </row>
    <row r="718" spans="1:16" ht="15.75" customHeight="1" x14ac:dyDescent="0.25">
      <c r="A718" s="50"/>
      <c r="D718" s="51"/>
      <c r="E718" s="51"/>
      <c r="K718" s="51"/>
      <c r="L718" s="52"/>
      <c r="P718" s="41"/>
    </row>
    <row r="719" spans="1:16" ht="15.75" customHeight="1" x14ac:dyDescent="0.25">
      <c r="A719" s="50"/>
      <c r="D719" s="51"/>
      <c r="E719" s="51"/>
      <c r="K719" s="51"/>
      <c r="L719" s="52"/>
      <c r="P719" s="41"/>
    </row>
    <row r="720" spans="1:16" ht="15.75" customHeight="1" x14ac:dyDescent="0.25">
      <c r="A720" s="50"/>
      <c r="D720" s="51"/>
      <c r="E720" s="51"/>
      <c r="K720" s="51"/>
      <c r="L720" s="52"/>
      <c r="P720" s="41"/>
    </row>
    <row r="721" spans="1:16" ht="15.75" customHeight="1" x14ac:dyDescent="0.25">
      <c r="A721" s="50"/>
      <c r="D721" s="51"/>
      <c r="E721" s="51"/>
      <c r="K721" s="51"/>
      <c r="L721" s="52"/>
      <c r="P721" s="41"/>
    </row>
    <row r="722" spans="1:16" ht="15.75" customHeight="1" x14ac:dyDescent="0.25">
      <c r="A722" s="50"/>
      <c r="D722" s="51"/>
      <c r="E722" s="51"/>
      <c r="K722" s="51"/>
      <c r="L722" s="52"/>
      <c r="P722" s="41"/>
    </row>
    <row r="723" spans="1:16" ht="15.75" customHeight="1" x14ac:dyDescent="0.25">
      <c r="A723" s="50"/>
      <c r="D723" s="51"/>
      <c r="E723" s="51"/>
      <c r="K723" s="51"/>
      <c r="L723" s="52"/>
      <c r="P723" s="41"/>
    </row>
    <row r="724" spans="1:16" ht="15.75" customHeight="1" x14ac:dyDescent="0.25">
      <c r="A724" s="50"/>
      <c r="D724" s="51"/>
      <c r="E724" s="51"/>
      <c r="K724" s="51"/>
      <c r="L724" s="52"/>
      <c r="P724" s="41"/>
    </row>
    <row r="725" spans="1:16" ht="15.75" customHeight="1" x14ac:dyDescent="0.25">
      <c r="A725" s="50"/>
      <c r="D725" s="51"/>
      <c r="E725" s="51"/>
      <c r="K725" s="51"/>
      <c r="L725" s="52"/>
      <c r="P725" s="41"/>
    </row>
    <row r="726" spans="1:16" ht="15.75" customHeight="1" x14ac:dyDescent="0.25">
      <c r="A726" s="50"/>
      <c r="D726" s="51"/>
      <c r="E726" s="51"/>
      <c r="K726" s="51"/>
      <c r="L726" s="52"/>
      <c r="P726" s="41"/>
    </row>
    <row r="727" spans="1:16" ht="15.75" customHeight="1" x14ac:dyDescent="0.25">
      <c r="A727" s="50"/>
      <c r="D727" s="51"/>
      <c r="E727" s="51"/>
      <c r="K727" s="51"/>
      <c r="L727" s="52"/>
      <c r="P727" s="41"/>
    </row>
    <row r="728" spans="1:16" ht="15.75" customHeight="1" x14ac:dyDescent="0.25">
      <c r="A728" s="50"/>
      <c r="D728" s="51"/>
      <c r="E728" s="51"/>
      <c r="K728" s="51"/>
      <c r="L728" s="52"/>
      <c r="P728" s="41"/>
    </row>
    <row r="729" spans="1:16" ht="15.75" customHeight="1" x14ac:dyDescent="0.25">
      <c r="A729" s="50"/>
      <c r="D729" s="51"/>
      <c r="E729" s="51"/>
      <c r="K729" s="51"/>
      <c r="L729" s="52"/>
      <c r="P729" s="41"/>
    </row>
    <row r="730" spans="1:16" ht="15.75" customHeight="1" x14ac:dyDescent="0.25">
      <c r="A730" s="50"/>
      <c r="D730" s="51"/>
      <c r="E730" s="51"/>
      <c r="K730" s="51"/>
      <c r="L730" s="52"/>
      <c r="P730" s="41"/>
    </row>
    <row r="731" spans="1:16" ht="15.75" customHeight="1" x14ac:dyDescent="0.25">
      <c r="A731" s="50"/>
      <c r="D731" s="51"/>
      <c r="E731" s="51"/>
      <c r="K731" s="51"/>
      <c r="L731" s="52"/>
      <c r="P731" s="41"/>
    </row>
    <row r="732" spans="1:16" ht="15.75" customHeight="1" x14ac:dyDescent="0.25">
      <c r="A732" s="50"/>
      <c r="D732" s="51"/>
      <c r="E732" s="51"/>
      <c r="K732" s="51"/>
      <c r="L732" s="52"/>
      <c r="P732" s="41"/>
    </row>
    <row r="733" spans="1:16" ht="15.75" customHeight="1" x14ac:dyDescent="0.25">
      <c r="A733" s="50"/>
      <c r="D733" s="51"/>
      <c r="E733" s="51"/>
      <c r="K733" s="51"/>
      <c r="L733" s="52"/>
      <c r="P733" s="41"/>
    </row>
    <row r="734" spans="1:16" ht="15.75" customHeight="1" x14ac:dyDescent="0.25">
      <c r="A734" s="50"/>
      <c r="D734" s="51"/>
      <c r="E734" s="51"/>
      <c r="K734" s="51"/>
      <c r="L734" s="52"/>
      <c r="P734" s="41"/>
    </row>
    <row r="735" spans="1:16" ht="15.75" customHeight="1" x14ac:dyDescent="0.25">
      <c r="A735" s="50"/>
      <c r="D735" s="51"/>
      <c r="E735" s="51"/>
      <c r="K735" s="51"/>
      <c r="L735" s="52"/>
      <c r="P735" s="41"/>
    </row>
    <row r="736" spans="1:16" ht="15.75" customHeight="1" x14ac:dyDescent="0.25">
      <c r="A736" s="50"/>
      <c r="D736" s="51"/>
      <c r="E736" s="51"/>
      <c r="K736" s="51"/>
      <c r="L736" s="52"/>
      <c r="P736" s="41"/>
    </row>
    <row r="737" spans="1:16" ht="15.75" customHeight="1" x14ac:dyDescent="0.25">
      <c r="A737" s="50"/>
      <c r="D737" s="51"/>
      <c r="E737" s="51"/>
      <c r="K737" s="51"/>
      <c r="L737" s="52"/>
      <c r="P737" s="41"/>
    </row>
    <row r="738" spans="1:16" ht="15.75" customHeight="1" x14ac:dyDescent="0.25">
      <c r="A738" s="50"/>
      <c r="D738" s="51"/>
      <c r="E738" s="51"/>
      <c r="K738" s="51"/>
      <c r="L738" s="52"/>
      <c r="P738" s="41"/>
    </row>
    <row r="739" spans="1:16" ht="15.75" customHeight="1" x14ac:dyDescent="0.25">
      <c r="A739" s="50"/>
      <c r="D739" s="51"/>
      <c r="E739" s="51"/>
      <c r="K739" s="51"/>
      <c r="L739" s="52"/>
      <c r="P739" s="41"/>
    </row>
    <row r="740" spans="1:16" ht="15.75" customHeight="1" x14ac:dyDescent="0.25">
      <c r="A740" s="50"/>
      <c r="D740" s="51"/>
      <c r="E740" s="51"/>
      <c r="K740" s="51"/>
      <c r="L740" s="52"/>
      <c r="P740" s="41"/>
    </row>
    <row r="741" spans="1:16" ht="15.75" customHeight="1" x14ac:dyDescent="0.25">
      <c r="A741" s="50"/>
      <c r="D741" s="51"/>
      <c r="E741" s="51"/>
      <c r="K741" s="51"/>
      <c r="L741" s="52"/>
      <c r="P741" s="41"/>
    </row>
    <row r="742" spans="1:16" ht="15.75" customHeight="1" x14ac:dyDescent="0.25">
      <c r="A742" s="50"/>
      <c r="D742" s="51"/>
      <c r="E742" s="51"/>
      <c r="K742" s="51"/>
      <c r="L742" s="52"/>
      <c r="P742" s="41"/>
    </row>
    <row r="743" spans="1:16" ht="15.75" customHeight="1" x14ac:dyDescent="0.25">
      <c r="A743" s="50"/>
      <c r="D743" s="51"/>
      <c r="E743" s="51"/>
      <c r="K743" s="51"/>
      <c r="L743" s="52"/>
      <c r="P743" s="41"/>
    </row>
    <row r="744" spans="1:16" ht="15.75" customHeight="1" x14ac:dyDescent="0.25">
      <c r="A744" s="50"/>
      <c r="D744" s="51"/>
      <c r="E744" s="51"/>
      <c r="K744" s="51"/>
      <c r="L744" s="52"/>
      <c r="P744" s="41"/>
    </row>
    <row r="745" spans="1:16" ht="15.75" customHeight="1" x14ac:dyDescent="0.25">
      <c r="A745" s="50"/>
      <c r="D745" s="51"/>
      <c r="E745" s="51"/>
      <c r="K745" s="51"/>
      <c r="L745" s="52"/>
      <c r="P745" s="41"/>
    </row>
    <row r="746" spans="1:16" ht="15.75" customHeight="1" x14ac:dyDescent="0.25">
      <c r="A746" s="50"/>
      <c r="D746" s="51"/>
      <c r="E746" s="51"/>
      <c r="K746" s="51"/>
      <c r="L746" s="52"/>
      <c r="P746" s="41"/>
    </row>
    <row r="747" spans="1:16" ht="15.75" customHeight="1" x14ac:dyDescent="0.25">
      <c r="A747" s="50"/>
      <c r="D747" s="51"/>
      <c r="E747" s="51"/>
      <c r="K747" s="51"/>
      <c r="L747" s="52"/>
      <c r="P747" s="41"/>
    </row>
    <row r="748" spans="1:16" ht="15.75" customHeight="1" x14ac:dyDescent="0.25">
      <c r="A748" s="50"/>
      <c r="D748" s="51"/>
      <c r="E748" s="51"/>
      <c r="K748" s="51"/>
      <c r="L748" s="52"/>
      <c r="P748" s="41"/>
    </row>
    <row r="749" spans="1:16" ht="15.75" customHeight="1" x14ac:dyDescent="0.25">
      <c r="A749" s="50"/>
      <c r="D749" s="51"/>
      <c r="E749" s="51"/>
      <c r="K749" s="51"/>
      <c r="L749" s="52"/>
      <c r="P749" s="41"/>
    </row>
    <row r="750" spans="1:16" ht="15.75" customHeight="1" x14ac:dyDescent="0.25">
      <c r="A750" s="50"/>
      <c r="D750" s="51"/>
      <c r="E750" s="51"/>
      <c r="K750" s="51"/>
      <c r="L750" s="52"/>
      <c r="P750" s="41"/>
    </row>
    <row r="751" spans="1:16" ht="15.75" customHeight="1" x14ac:dyDescent="0.25">
      <c r="A751" s="50"/>
      <c r="D751" s="51"/>
      <c r="E751" s="51"/>
      <c r="K751" s="51"/>
      <c r="L751" s="52"/>
      <c r="P751" s="41"/>
    </row>
    <row r="752" spans="1:16" ht="15.75" customHeight="1" x14ac:dyDescent="0.25">
      <c r="A752" s="50"/>
      <c r="D752" s="51"/>
      <c r="E752" s="51"/>
      <c r="K752" s="51"/>
      <c r="L752" s="52"/>
      <c r="P752" s="41"/>
    </row>
    <row r="753" spans="1:16" ht="15.75" customHeight="1" x14ac:dyDescent="0.25">
      <c r="A753" s="50"/>
      <c r="D753" s="51"/>
      <c r="E753" s="51"/>
      <c r="K753" s="51"/>
      <c r="L753" s="52"/>
      <c r="P753" s="41"/>
    </row>
    <row r="754" spans="1:16" ht="15.75" customHeight="1" x14ac:dyDescent="0.25">
      <c r="A754" s="50"/>
      <c r="D754" s="51"/>
      <c r="E754" s="51"/>
      <c r="K754" s="51"/>
      <c r="L754" s="52"/>
      <c r="P754" s="41"/>
    </row>
    <row r="755" spans="1:16" ht="15.75" customHeight="1" x14ac:dyDescent="0.25">
      <c r="A755" s="50"/>
      <c r="D755" s="51"/>
      <c r="E755" s="51"/>
      <c r="K755" s="51"/>
      <c r="L755" s="52"/>
      <c r="P755" s="41"/>
    </row>
    <row r="756" spans="1:16" ht="15.75" customHeight="1" x14ac:dyDescent="0.25">
      <c r="A756" s="50"/>
      <c r="D756" s="51"/>
      <c r="E756" s="51"/>
      <c r="K756" s="51"/>
      <c r="L756" s="52"/>
      <c r="P756" s="41"/>
    </row>
    <row r="757" spans="1:16" ht="15.75" customHeight="1" x14ac:dyDescent="0.25">
      <c r="A757" s="50"/>
      <c r="D757" s="51"/>
      <c r="E757" s="51"/>
      <c r="K757" s="51"/>
      <c r="L757" s="52"/>
      <c r="P757" s="41"/>
    </row>
    <row r="758" spans="1:16" ht="15.75" customHeight="1" x14ac:dyDescent="0.25">
      <c r="A758" s="50"/>
      <c r="D758" s="51"/>
      <c r="E758" s="51"/>
      <c r="K758" s="51"/>
      <c r="L758" s="52"/>
      <c r="P758" s="41"/>
    </row>
    <row r="759" spans="1:16" ht="15.75" customHeight="1" x14ac:dyDescent="0.25">
      <c r="A759" s="50"/>
      <c r="D759" s="51"/>
      <c r="E759" s="51"/>
      <c r="K759" s="51"/>
      <c r="L759" s="52"/>
      <c r="P759" s="41"/>
    </row>
    <row r="760" spans="1:16" ht="15.75" customHeight="1" x14ac:dyDescent="0.25">
      <c r="A760" s="50"/>
      <c r="D760" s="51"/>
      <c r="E760" s="51"/>
      <c r="K760" s="51"/>
      <c r="L760" s="52"/>
      <c r="P760" s="41"/>
    </row>
    <row r="761" spans="1:16" ht="15.75" customHeight="1" x14ac:dyDescent="0.25">
      <c r="A761" s="50"/>
      <c r="D761" s="51"/>
      <c r="E761" s="51"/>
      <c r="K761" s="51"/>
      <c r="L761" s="52"/>
      <c r="P761" s="41"/>
    </row>
    <row r="762" spans="1:16" ht="15.75" customHeight="1" x14ac:dyDescent="0.25">
      <c r="A762" s="50"/>
      <c r="D762" s="51"/>
      <c r="E762" s="51"/>
      <c r="K762" s="51"/>
      <c r="L762" s="52"/>
      <c r="P762" s="41"/>
    </row>
    <row r="763" spans="1:16" ht="15.75" customHeight="1" x14ac:dyDescent="0.25">
      <c r="A763" s="50"/>
      <c r="D763" s="51"/>
      <c r="E763" s="51"/>
      <c r="K763" s="51"/>
      <c r="L763" s="52"/>
      <c r="P763" s="41"/>
    </row>
    <row r="764" spans="1:16" ht="15.75" customHeight="1" x14ac:dyDescent="0.25">
      <c r="A764" s="50"/>
      <c r="D764" s="51"/>
      <c r="E764" s="51"/>
      <c r="K764" s="51"/>
      <c r="L764" s="52"/>
      <c r="P764" s="41"/>
    </row>
    <row r="765" spans="1:16" ht="15.75" customHeight="1" x14ac:dyDescent="0.25">
      <c r="A765" s="50"/>
      <c r="D765" s="51"/>
      <c r="E765" s="51"/>
      <c r="K765" s="51"/>
      <c r="L765" s="52"/>
      <c r="P765" s="41"/>
    </row>
    <row r="766" spans="1:16" ht="15.75" customHeight="1" x14ac:dyDescent="0.25">
      <c r="A766" s="50"/>
      <c r="D766" s="51"/>
      <c r="E766" s="51"/>
      <c r="K766" s="51"/>
      <c r="L766" s="52"/>
      <c r="P766" s="41"/>
    </row>
    <row r="767" spans="1:16" ht="15.75" customHeight="1" x14ac:dyDescent="0.25">
      <c r="A767" s="50"/>
      <c r="D767" s="51"/>
      <c r="E767" s="51"/>
      <c r="K767" s="51"/>
      <c r="L767" s="52"/>
      <c r="P767" s="41"/>
    </row>
    <row r="768" spans="1:16" ht="15.75" customHeight="1" x14ac:dyDescent="0.25">
      <c r="A768" s="50"/>
      <c r="D768" s="51"/>
      <c r="E768" s="51"/>
      <c r="K768" s="51"/>
      <c r="L768" s="52"/>
      <c r="P768" s="41"/>
    </row>
    <row r="769" spans="1:16" ht="15.75" customHeight="1" x14ac:dyDescent="0.25">
      <c r="A769" s="50"/>
      <c r="D769" s="51"/>
      <c r="E769" s="51"/>
      <c r="K769" s="51"/>
      <c r="L769" s="52"/>
      <c r="P769" s="41"/>
    </row>
    <row r="770" spans="1:16" ht="15.75" customHeight="1" x14ac:dyDescent="0.25">
      <c r="A770" s="50"/>
      <c r="D770" s="51"/>
      <c r="E770" s="51"/>
      <c r="K770" s="51"/>
      <c r="L770" s="52"/>
      <c r="P770" s="41"/>
    </row>
    <row r="771" spans="1:16" ht="15.75" customHeight="1" x14ac:dyDescent="0.25">
      <c r="A771" s="50"/>
      <c r="D771" s="51"/>
      <c r="E771" s="51"/>
      <c r="K771" s="51"/>
      <c r="L771" s="52"/>
      <c r="P771" s="41"/>
    </row>
    <row r="772" spans="1:16" ht="15.75" customHeight="1" x14ac:dyDescent="0.25">
      <c r="A772" s="50"/>
      <c r="D772" s="51"/>
      <c r="E772" s="51"/>
      <c r="K772" s="51"/>
      <c r="L772" s="52"/>
      <c r="P772" s="41"/>
    </row>
    <row r="773" spans="1:16" ht="15.75" customHeight="1" x14ac:dyDescent="0.25">
      <c r="A773" s="50"/>
      <c r="D773" s="51"/>
      <c r="E773" s="51"/>
      <c r="K773" s="51"/>
      <c r="L773" s="52"/>
      <c r="P773" s="41"/>
    </row>
    <row r="774" spans="1:16" ht="15.75" customHeight="1" x14ac:dyDescent="0.25">
      <c r="A774" s="50"/>
      <c r="D774" s="51"/>
      <c r="E774" s="51"/>
      <c r="K774" s="51"/>
      <c r="L774" s="52"/>
      <c r="P774" s="41"/>
    </row>
    <row r="775" spans="1:16" ht="15.75" customHeight="1" x14ac:dyDescent="0.25">
      <c r="A775" s="50"/>
      <c r="D775" s="51"/>
      <c r="E775" s="51"/>
      <c r="K775" s="51"/>
      <c r="L775" s="52"/>
      <c r="P775" s="41"/>
    </row>
    <row r="776" spans="1:16" ht="15.75" customHeight="1" x14ac:dyDescent="0.25">
      <c r="A776" s="50"/>
      <c r="D776" s="51"/>
      <c r="E776" s="51"/>
      <c r="K776" s="51"/>
      <c r="L776" s="52"/>
      <c r="P776" s="41"/>
    </row>
    <row r="777" spans="1:16" ht="15.75" customHeight="1" x14ac:dyDescent="0.25">
      <c r="A777" s="50"/>
      <c r="D777" s="51"/>
      <c r="E777" s="51"/>
      <c r="K777" s="51"/>
      <c r="L777" s="52"/>
      <c r="P777" s="41"/>
    </row>
    <row r="778" spans="1:16" ht="15.75" customHeight="1" x14ac:dyDescent="0.25">
      <c r="A778" s="50"/>
      <c r="D778" s="51"/>
      <c r="E778" s="51"/>
      <c r="K778" s="51"/>
      <c r="L778" s="52"/>
      <c r="P778" s="41"/>
    </row>
    <row r="779" spans="1:16" ht="15.75" customHeight="1" x14ac:dyDescent="0.25">
      <c r="A779" s="50"/>
      <c r="D779" s="51"/>
      <c r="E779" s="51"/>
      <c r="K779" s="51"/>
      <c r="L779" s="52"/>
      <c r="P779" s="41"/>
    </row>
    <row r="780" spans="1:16" ht="15.75" customHeight="1" x14ac:dyDescent="0.25">
      <c r="A780" s="50"/>
      <c r="D780" s="51"/>
      <c r="E780" s="51"/>
      <c r="K780" s="51"/>
      <c r="L780" s="52"/>
      <c r="P780" s="41"/>
    </row>
    <row r="781" spans="1:16" ht="15.75" customHeight="1" x14ac:dyDescent="0.25">
      <c r="A781" s="50"/>
      <c r="D781" s="51"/>
      <c r="E781" s="51"/>
      <c r="K781" s="51"/>
      <c r="L781" s="52"/>
      <c r="P781" s="41"/>
    </row>
    <row r="782" spans="1:16" ht="15.75" customHeight="1" x14ac:dyDescent="0.25">
      <c r="A782" s="50"/>
      <c r="D782" s="51"/>
      <c r="E782" s="51"/>
      <c r="K782" s="51"/>
      <c r="L782" s="52"/>
      <c r="P782" s="41"/>
    </row>
    <row r="783" spans="1:16" ht="15.75" customHeight="1" x14ac:dyDescent="0.25">
      <c r="A783" s="50"/>
      <c r="D783" s="51"/>
      <c r="E783" s="51"/>
      <c r="K783" s="51"/>
      <c r="L783" s="52"/>
      <c r="P783" s="41"/>
    </row>
    <row r="784" spans="1:16" ht="15.75" customHeight="1" x14ac:dyDescent="0.25">
      <c r="A784" s="50"/>
      <c r="D784" s="51"/>
      <c r="E784" s="51"/>
      <c r="K784" s="51"/>
      <c r="L784" s="52"/>
      <c r="P784" s="41"/>
    </row>
    <row r="785" spans="1:16" ht="15.75" customHeight="1" x14ac:dyDescent="0.25">
      <c r="A785" s="50"/>
      <c r="D785" s="51"/>
      <c r="E785" s="51"/>
      <c r="K785" s="51"/>
      <c r="L785" s="52"/>
      <c r="P785" s="41"/>
    </row>
    <row r="786" spans="1:16" ht="15.75" customHeight="1" x14ac:dyDescent="0.25">
      <c r="A786" s="50"/>
      <c r="D786" s="51"/>
      <c r="E786" s="51"/>
      <c r="K786" s="51"/>
      <c r="L786" s="52"/>
      <c r="P786" s="41"/>
    </row>
    <row r="787" spans="1:16" ht="15.75" customHeight="1" x14ac:dyDescent="0.25">
      <c r="A787" s="50"/>
      <c r="D787" s="51"/>
      <c r="E787" s="51"/>
      <c r="K787" s="51"/>
      <c r="L787" s="52"/>
      <c r="P787" s="41"/>
    </row>
    <row r="788" spans="1:16" ht="15.75" customHeight="1" x14ac:dyDescent="0.25">
      <c r="A788" s="50"/>
      <c r="D788" s="51"/>
      <c r="E788" s="51"/>
      <c r="K788" s="51"/>
      <c r="L788" s="52"/>
      <c r="P788" s="41"/>
    </row>
    <row r="789" spans="1:16" ht="15.75" customHeight="1" x14ac:dyDescent="0.25">
      <c r="A789" s="50"/>
      <c r="D789" s="51"/>
      <c r="E789" s="51"/>
      <c r="K789" s="51"/>
      <c r="L789" s="52"/>
      <c r="P789" s="41"/>
    </row>
    <row r="790" spans="1:16" ht="15.75" customHeight="1" x14ac:dyDescent="0.25">
      <c r="A790" s="50"/>
      <c r="D790" s="51"/>
      <c r="E790" s="51"/>
      <c r="K790" s="51"/>
      <c r="L790" s="52"/>
      <c r="P790" s="41"/>
    </row>
    <row r="791" spans="1:16" ht="15.75" customHeight="1" x14ac:dyDescent="0.25">
      <c r="A791" s="50"/>
      <c r="D791" s="51"/>
      <c r="E791" s="51"/>
      <c r="K791" s="51"/>
      <c r="L791" s="52"/>
      <c r="P791" s="41"/>
    </row>
    <row r="792" spans="1:16" ht="15.75" customHeight="1" x14ac:dyDescent="0.25">
      <c r="A792" s="50"/>
      <c r="D792" s="51"/>
      <c r="E792" s="51"/>
      <c r="K792" s="51"/>
      <c r="L792" s="52"/>
      <c r="P792" s="41"/>
    </row>
    <row r="793" spans="1:16" ht="15.75" customHeight="1" x14ac:dyDescent="0.25">
      <c r="A793" s="50"/>
      <c r="D793" s="51"/>
      <c r="E793" s="51"/>
      <c r="K793" s="51"/>
      <c r="L793" s="52"/>
      <c r="P793" s="41"/>
    </row>
    <row r="794" spans="1:16" ht="15.75" customHeight="1" x14ac:dyDescent="0.25">
      <c r="A794" s="50"/>
      <c r="D794" s="51"/>
      <c r="E794" s="51"/>
      <c r="K794" s="51"/>
      <c r="L794" s="52"/>
      <c r="P794" s="41"/>
    </row>
    <row r="795" spans="1:16" ht="15.75" customHeight="1" x14ac:dyDescent="0.25">
      <c r="A795" s="50"/>
      <c r="D795" s="51"/>
      <c r="E795" s="51"/>
      <c r="K795" s="51"/>
      <c r="L795" s="52"/>
      <c r="P795" s="41"/>
    </row>
    <row r="796" spans="1:16" ht="15.75" customHeight="1" x14ac:dyDescent="0.25">
      <c r="A796" s="50"/>
      <c r="D796" s="51"/>
      <c r="E796" s="51"/>
      <c r="K796" s="51"/>
      <c r="L796" s="52"/>
      <c r="P796" s="41"/>
    </row>
    <row r="797" spans="1:16" ht="15.75" customHeight="1" x14ac:dyDescent="0.25">
      <c r="A797" s="50"/>
      <c r="D797" s="51"/>
      <c r="E797" s="51"/>
      <c r="K797" s="51"/>
      <c r="L797" s="52"/>
      <c r="P797" s="41"/>
    </row>
    <row r="798" spans="1:16" ht="15.75" customHeight="1" x14ac:dyDescent="0.25">
      <c r="A798" s="50"/>
      <c r="D798" s="51"/>
      <c r="E798" s="51"/>
      <c r="K798" s="51"/>
      <c r="L798" s="52"/>
      <c r="P798" s="41"/>
    </row>
    <row r="799" spans="1:16" ht="15.75" customHeight="1" x14ac:dyDescent="0.25">
      <c r="A799" s="50"/>
      <c r="D799" s="51"/>
      <c r="E799" s="51"/>
      <c r="K799" s="51"/>
      <c r="L799" s="52"/>
      <c r="P799" s="41"/>
    </row>
    <row r="800" spans="1:16" ht="15.75" customHeight="1" x14ac:dyDescent="0.25">
      <c r="A800" s="50"/>
      <c r="D800" s="51"/>
      <c r="E800" s="51"/>
      <c r="K800" s="51"/>
      <c r="L800" s="52"/>
      <c r="P800" s="41"/>
    </row>
    <row r="801" spans="1:16" ht="15.75" customHeight="1" x14ac:dyDescent="0.25">
      <c r="A801" s="50"/>
      <c r="D801" s="51"/>
      <c r="E801" s="51"/>
      <c r="K801" s="51"/>
      <c r="L801" s="52"/>
      <c r="P801" s="41"/>
    </row>
    <row r="802" spans="1:16" ht="15.75" customHeight="1" x14ac:dyDescent="0.25">
      <c r="A802" s="50"/>
      <c r="D802" s="51"/>
      <c r="E802" s="51"/>
      <c r="K802" s="51"/>
      <c r="L802" s="52"/>
      <c r="P802" s="41"/>
    </row>
    <row r="803" spans="1:16" ht="15.75" customHeight="1" x14ac:dyDescent="0.25">
      <c r="A803" s="50"/>
      <c r="D803" s="51"/>
      <c r="E803" s="51"/>
      <c r="K803" s="51"/>
      <c r="L803" s="52"/>
      <c r="P803" s="41"/>
    </row>
    <row r="804" spans="1:16" ht="15.75" customHeight="1" x14ac:dyDescent="0.25">
      <c r="A804" s="50"/>
      <c r="D804" s="51"/>
      <c r="E804" s="51"/>
      <c r="K804" s="51"/>
      <c r="L804" s="52"/>
      <c r="P804" s="41"/>
    </row>
    <row r="805" spans="1:16" ht="15.75" customHeight="1" x14ac:dyDescent="0.25">
      <c r="A805" s="50"/>
      <c r="D805" s="51"/>
      <c r="E805" s="51"/>
      <c r="K805" s="51"/>
      <c r="L805" s="52"/>
      <c r="P805" s="41"/>
    </row>
    <row r="806" spans="1:16" ht="15.75" customHeight="1" x14ac:dyDescent="0.25">
      <c r="A806" s="50"/>
      <c r="D806" s="51"/>
      <c r="E806" s="51"/>
      <c r="K806" s="51"/>
      <c r="L806" s="52"/>
      <c r="P806" s="41"/>
    </row>
    <row r="807" spans="1:16" ht="15.75" customHeight="1" x14ac:dyDescent="0.25">
      <c r="A807" s="50"/>
      <c r="D807" s="51"/>
      <c r="E807" s="51"/>
      <c r="K807" s="51"/>
      <c r="L807" s="52"/>
      <c r="P807" s="41"/>
    </row>
    <row r="808" spans="1:16" ht="15.75" customHeight="1" x14ac:dyDescent="0.25">
      <c r="A808" s="50"/>
      <c r="D808" s="51"/>
      <c r="E808" s="51"/>
      <c r="K808" s="51"/>
      <c r="L808" s="52"/>
      <c r="P808" s="41"/>
    </row>
    <row r="809" spans="1:16" ht="15.75" customHeight="1" x14ac:dyDescent="0.25">
      <c r="A809" s="50"/>
      <c r="D809" s="51"/>
      <c r="E809" s="51"/>
      <c r="K809" s="51"/>
      <c r="L809" s="52"/>
      <c r="P809" s="41"/>
    </row>
    <row r="810" spans="1:16" ht="15.75" customHeight="1" x14ac:dyDescent="0.25">
      <c r="A810" s="50"/>
      <c r="D810" s="51"/>
      <c r="E810" s="51"/>
      <c r="K810" s="51"/>
      <c r="L810" s="52"/>
      <c r="P810" s="41"/>
    </row>
    <row r="811" spans="1:16" ht="15.75" customHeight="1" x14ac:dyDescent="0.25">
      <c r="A811" s="50"/>
      <c r="D811" s="51"/>
      <c r="E811" s="51"/>
      <c r="K811" s="51"/>
      <c r="L811" s="52"/>
      <c r="P811" s="41"/>
    </row>
    <row r="812" spans="1:16" ht="15.75" customHeight="1" x14ac:dyDescent="0.25">
      <c r="A812" s="50"/>
      <c r="D812" s="51"/>
      <c r="E812" s="51"/>
      <c r="K812" s="51"/>
      <c r="L812" s="52"/>
      <c r="P812" s="41"/>
    </row>
    <row r="813" spans="1:16" ht="15.75" customHeight="1" x14ac:dyDescent="0.25">
      <c r="A813" s="50"/>
      <c r="D813" s="51"/>
      <c r="E813" s="51"/>
      <c r="K813" s="51"/>
      <c r="L813" s="52"/>
      <c r="P813" s="41"/>
    </row>
    <row r="814" spans="1:16" ht="15.75" customHeight="1" x14ac:dyDescent="0.25">
      <c r="A814" s="50"/>
      <c r="D814" s="51"/>
      <c r="E814" s="51"/>
      <c r="K814" s="51"/>
      <c r="L814" s="52"/>
      <c r="P814" s="41"/>
    </row>
    <row r="815" spans="1:16" ht="15.75" customHeight="1" x14ac:dyDescent="0.25">
      <c r="A815" s="50"/>
      <c r="D815" s="51"/>
      <c r="E815" s="51"/>
      <c r="K815" s="51"/>
      <c r="L815" s="52"/>
      <c r="P815" s="41"/>
    </row>
    <row r="816" spans="1:16" ht="15.75" customHeight="1" x14ac:dyDescent="0.25">
      <c r="A816" s="50"/>
      <c r="D816" s="51"/>
      <c r="E816" s="51"/>
      <c r="K816" s="51"/>
      <c r="L816" s="52"/>
      <c r="P816" s="41"/>
    </row>
    <row r="817" spans="1:16" ht="15.75" customHeight="1" x14ac:dyDescent="0.25">
      <c r="A817" s="50"/>
      <c r="D817" s="51"/>
      <c r="E817" s="51"/>
      <c r="K817" s="51"/>
      <c r="L817" s="52"/>
      <c r="P817" s="41"/>
    </row>
    <row r="818" spans="1:16" ht="15.75" customHeight="1" x14ac:dyDescent="0.25">
      <c r="A818" s="50"/>
      <c r="D818" s="51"/>
      <c r="E818" s="51"/>
      <c r="K818" s="51"/>
      <c r="L818" s="52"/>
      <c r="P818" s="41"/>
    </row>
    <row r="819" spans="1:16" ht="15.75" customHeight="1" x14ac:dyDescent="0.25">
      <c r="A819" s="50"/>
      <c r="D819" s="51"/>
      <c r="E819" s="51"/>
      <c r="K819" s="51"/>
      <c r="L819" s="52"/>
      <c r="P819" s="41"/>
    </row>
    <row r="820" spans="1:16" ht="15.75" customHeight="1" x14ac:dyDescent="0.25">
      <c r="A820" s="50"/>
      <c r="D820" s="51"/>
      <c r="E820" s="51"/>
      <c r="K820" s="51"/>
      <c r="L820" s="52"/>
      <c r="P820" s="41"/>
    </row>
    <row r="821" spans="1:16" ht="15.75" customHeight="1" x14ac:dyDescent="0.25">
      <c r="A821" s="50"/>
      <c r="D821" s="51"/>
      <c r="E821" s="51"/>
      <c r="K821" s="51"/>
      <c r="L821" s="52"/>
      <c r="P821" s="41"/>
    </row>
    <row r="822" spans="1:16" ht="15.75" customHeight="1" x14ac:dyDescent="0.25">
      <c r="A822" s="50"/>
      <c r="D822" s="51"/>
      <c r="E822" s="51"/>
      <c r="K822" s="51"/>
      <c r="L822" s="52"/>
      <c r="P822" s="41"/>
    </row>
    <row r="823" spans="1:16" ht="15.75" customHeight="1" x14ac:dyDescent="0.25">
      <c r="A823" s="50"/>
      <c r="D823" s="51"/>
      <c r="E823" s="51"/>
      <c r="K823" s="51"/>
      <c r="L823" s="52"/>
      <c r="P823" s="41"/>
    </row>
    <row r="824" spans="1:16" ht="15.75" customHeight="1" x14ac:dyDescent="0.25">
      <c r="A824" s="50"/>
      <c r="D824" s="51"/>
      <c r="E824" s="51"/>
      <c r="K824" s="51"/>
      <c r="L824" s="52"/>
      <c r="P824" s="41"/>
    </row>
    <row r="825" spans="1:16" ht="15.75" customHeight="1" x14ac:dyDescent="0.25">
      <c r="A825" s="50"/>
      <c r="D825" s="51"/>
      <c r="E825" s="51"/>
      <c r="K825" s="51"/>
      <c r="L825" s="52"/>
      <c r="P825" s="41"/>
    </row>
    <row r="826" spans="1:16" ht="15.75" customHeight="1" x14ac:dyDescent="0.25">
      <c r="A826" s="50"/>
      <c r="D826" s="51"/>
      <c r="E826" s="51"/>
      <c r="K826" s="51"/>
      <c r="L826" s="52"/>
      <c r="P826" s="41"/>
    </row>
    <row r="827" spans="1:16" ht="15.75" customHeight="1" x14ac:dyDescent="0.25">
      <c r="A827" s="50"/>
      <c r="D827" s="51"/>
      <c r="E827" s="51"/>
      <c r="K827" s="51"/>
      <c r="L827" s="52"/>
      <c r="P827" s="41"/>
    </row>
    <row r="828" spans="1:16" ht="15.75" customHeight="1" x14ac:dyDescent="0.25">
      <c r="A828" s="50"/>
      <c r="D828" s="51"/>
      <c r="E828" s="51"/>
      <c r="K828" s="51"/>
      <c r="L828" s="52"/>
      <c r="P828" s="41"/>
    </row>
    <row r="829" spans="1:16" ht="15.75" customHeight="1" x14ac:dyDescent="0.25">
      <c r="A829" s="50"/>
      <c r="D829" s="51"/>
      <c r="E829" s="51"/>
      <c r="K829" s="51"/>
      <c r="L829" s="52"/>
      <c r="P829" s="41"/>
    </row>
    <row r="830" spans="1:16" ht="15.75" customHeight="1" x14ac:dyDescent="0.25">
      <c r="A830" s="50"/>
      <c r="D830" s="51"/>
      <c r="E830" s="51"/>
      <c r="K830" s="51"/>
      <c r="L830" s="52"/>
      <c r="P830" s="41"/>
    </row>
    <row r="831" spans="1:16" ht="15.75" customHeight="1" x14ac:dyDescent="0.25">
      <c r="A831" s="50"/>
      <c r="D831" s="51"/>
      <c r="E831" s="51"/>
      <c r="K831" s="51"/>
      <c r="L831" s="52"/>
      <c r="P831" s="41"/>
    </row>
    <row r="832" spans="1:16" ht="15.75" customHeight="1" x14ac:dyDescent="0.25">
      <c r="A832" s="50"/>
      <c r="D832" s="51"/>
      <c r="E832" s="51"/>
      <c r="K832" s="51"/>
      <c r="L832" s="52"/>
      <c r="P832" s="41"/>
    </row>
    <row r="833" spans="1:16" ht="15.75" customHeight="1" x14ac:dyDescent="0.25">
      <c r="A833" s="50"/>
      <c r="D833" s="51"/>
      <c r="E833" s="51"/>
      <c r="K833" s="51"/>
      <c r="L833" s="52"/>
      <c r="P833" s="41"/>
    </row>
    <row r="834" spans="1:16" ht="15.75" customHeight="1" x14ac:dyDescent="0.25">
      <c r="A834" s="50"/>
      <c r="D834" s="51"/>
      <c r="E834" s="51"/>
      <c r="K834" s="51"/>
      <c r="L834" s="52"/>
      <c r="P834" s="41"/>
    </row>
    <row r="835" spans="1:16" ht="15.75" customHeight="1" x14ac:dyDescent="0.25">
      <c r="A835" s="50"/>
      <c r="D835" s="51"/>
      <c r="E835" s="51"/>
      <c r="K835" s="51"/>
      <c r="L835" s="52"/>
      <c r="P835" s="41"/>
    </row>
    <row r="836" spans="1:16" ht="15.75" customHeight="1" x14ac:dyDescent="0.25">
      <c r="A836" s="50"/>
      <c r="D836" s="51"/>
      <c r="E836" s="51"/>
      <c r="K836" s="51"/>
      <c r="L836" s="52"/>
      <c r="P836" s="41"/>
    </row>
    <row r="837" spans="1:16" ht="15.75" customHeight="1" x14ac:dyDescent="0.25">
      <c r="A837" s="50"/>
      <c r="D837" s="51"/>
      <c r="E837" s="51"/>
      <c r="K837" s="51"/>
      <c r="L837" s="52"/>
      <c r="P837" s="41"/>
    </row>
    <row r="838" spans="1:16" ht="15.75" customHeight="1" x14ac:dyDescent="0.25">
      <c r="A838" s="50"/>
      <c r="D838" s="51"/>
      <c r="E838" s="51"/>
      <c r="K838" s="51"/>
      <c r="L838" s="52"/>
      <c r="P838" s="41"/>
    </row>
    <row r="839" spans="1:16" ht="15.75" customHeight="1" x14ac:dyDescent="0.25">
      <c r="A839" s="50"/>
      <c r="D839" s="51"/>
      <c r="E839" s="51"/>
      <c r="K839" s="51"/>
      <c r="L839" s="52"/>
      <c r="P839" s="41"/>
    </row>
    <row r="840" spans="1:16" ht="15.75" customHeight="1" x14ac:dyDescent="0.25">
      <c r="A840" s="50"/>
      <c r="D840" s="51"/>
      <c r="E840" s="51"/>
      <c r="K840" s="51"/>
      <c r="L840" s="52"/>
      <c r="P840" s="41"/>
    </row>
    <row r="841" spans="1:16" ht="15.75" customHeight="1" x14ac:dyDescent="0.25">
      <c r="A841" s="50"/>
      <c r="D841" s="51"/>
      <c r="E841" s="51"/>
      <c r="K841" s="51"/>
      <c r="L841" s="52"/>
      <c r="P841" s="41"/>
    </row>
    <row r="842" spans="1:16" ht="15.75" customHeight="1" x14ac:dyDescent="0.25">
      <c r="A842" s="50"/>
      <c r="D842" s="51"/>
      <c r="E842" s="51"/>
      <c r="K842" s="51"/>
      <c r="L842" s="52"/>
      <c r="P842" s="41"/>
    </row>
    <row r="843" spans="1:16" ht="15.75" customHeight="1" x14ac:dyDescent="0.25">
      <c r="A843" s="50"/>
      <c r="D843" s="51"/>
      <c r="E843" s="51"/>
      <c r="K843" s="51"/>
      <c r="L843" s="52"/>
      <c r="P843" s="41"/>
    </row>
    <row r="844" spans="1:16" ht="15.75" customHeight="1" x14ac:dyDescent="0.25">
      <c r="A844" s="50"/>
      <c r="D844" s="51"/>
      <c r="E844" s="51"/>
      <c r="K844" s="51"/>
      <c r="L844" s="52"/>
      <c r="P844" s="41"/>
    </row>
    <row r="845" spans="1:16" ht="15.75" customHeight="1" x14ac:dyDescent="0.25">
      <c r="A845" s="50"/>
      <c r="D845" s="51"/>
      <c r="E845" s="51"/>
      <c r="K845" s="51"/>
      <c r="L845" s="52"/>
      <c r="P845" s="41"/>
    </row>
    <row r="846" spans="1:16" ht="15.75" customHeight="1" x14ac:dyDescent="0.25">
      <c r="A846" s="50"/>
      <c r="D846" s="51"/>
      <c r="E846" s="51"/>
      <c r="K846" s="51"/>
      <c r="L846" s="52"/>
      <c r="P846" s="41"/>
    </row>
    <row r="847" spans="1:16" ht="15.75" customHeight="1" x14ac:dyDescent="0.25">
      <c r="A847" s="50"/>
      <c r="D847" s="51"/>
      <c r="E847" s="51"/>
      <c r="K847" s="51"/>
      <c r="L847" s="52"/>
      <c r="P847" s="41"/>
    </row>
    <row r="848" spans="1:16" ht="15.75" customHeight="1" x14ac:dyDescent="0.25">
      <c r="A848" s="50"/>
      <c r="D848" s="51"/>
      <c r="E848" s="51"/>
      <c r="K848" s="51"/>
      <c r="L848" s="52"/>
      <c r="P848" s="41"/>
    </row>
    <row r="849" spans="1:16" ht="15.75" customHeight="1" x14ac:dyDescent="0.25">
      <c r="A849" s="50"/>
      <c r="D849" s="51"/>
      <c r="E849" s="51"/>
      <c r="K849" s="51"/>
      <c r="L849" s="52"/>
      <c r="P849" s="41"/>
    </row>
    <row r="850" spans="1:16" ht="15.75" customHeight="1" x14ac:dyDescent="0.25">
      <c r="A850" s="50"/>
      <c r="D850" s="51"/>
      <c r="E850" s="51"/>
      <c r="K850" s="51"/>
      <c r="L850" s="52"/>
      <c r="P850" s="41"/>
    </row>
    <row r="851" spans="1:16" ht="15.75" customHeight="1" x14ac:dyDescent="0.25">
      <c r="A851" s="50"/>
      <c r="D851" s="51"/>
      <c r="E851" s="51"/>
      <c r="K851" s="51"/>
      <c r="L851" s="52"/>
      <c r="P851" s="41"/>
    </row>
    <row r="852" spans="1:16" ht="15.75" customHeight="1" x14ac:dyDescent="0.25">
      <c r="A852" s="50"/>
      <c r="D852" s="51"/>
      <c r="E852" s="51"/>
      <c r="K852" s="51"/>
      <c r="L852" s="52"/>
      <c r="P852" s="41"/>
    </row>
    <row r="853" spans="1:16" ht="15.75" customHeight="1" x14ac:dyDescent="0.25">
      <c r="A853" s="50"/>
      <c r="D853" s="51"/>
      <c r="E853" s="51"/>
      <c r="K853" s="51"/>
      <c r="L853" s="52"/>
      <c r="P853" s="41"/>
    </row>
    <row r="854" spans="1:16" ht="15.75" customHeight="1" x14ac:dyDescent="0.25">
      <c r="A854" s="50"/>
      <c r="D854" s="51"/>
      <c r="E854" s="51"/>
      <c r="K854" s="51"/>
      <c r="L854" s="52"/>
      <c r="P854" s="41"/>
    </row>
    <row r="855" spans="1:16" ht="15.75" customHeight="1" x14ac:dyDescent="0.25">
      <c r="A855" s="50"/>
      <c r="D855" s="51"/>
      <c r="E855" s="51"/>
      <c r="K855" s="51"/>
      <c r="L855" s="52"/>
      <c r="P855" s="41"/>
    </row>
    <row r="856" spans="1:16" ht="15.75" customHeight="1" x14ac:dyDescent="0.25">
      <c r="A856" s="50"/>
      <c r="D856" s="51"/>
      <c r="E856" s="51"/>
      <c r="K856" s="51"/>
      <c r="L856" s="52"/>
      <c r="P856" s="41"/>
    </row>
    <row r="857" spans="1:16" ht="15.75" customHeight="1" x14ac:dyDescent="0.25">
      <c r="A857" s="50"/>
      <c r="D857" s="51"/>
      <c r="E857" s="51"/>
      <c r="K857" s="51"/>
      <c r="L857" s="52"/>
      <c r="P857" s="41"/>
    </row>
    <row r="858" spans="1:16" ht="15.75" customHeight="1" x14ac:dyDescent="0.25">
      <c r="A858" s="50"/>
      <c r="D858" s="51"/>
      <c r="E858" s="51"/>
      <c r="K858" s="51"/>
      <c r="L858" s="52"/>
      <c r="P858" s="41"/>
    </row>
    <row r="859" spans="1:16" ht="15.75" customHeight="1" x14ac:dyDescent="0.25">
      <c r="A859" s="50"/>
      <c r="D859" s="51"/>
      <c r="E859" s="51"/>
      <c r="K859" s="51"/>
      <c r="L859" s="52"/>
      <c r="P859" s="41"/>
    </row>
    <row r="860" spans="1:16" ht="15.75" customHeight="1" x14ac:dyDescent="0.25">
      <c r="A860" s="50"/>
      <c r="D860" s="51"/>
      <c r="E860" s="51"/>
      <c r="K860" s="51"/>
      <c r="L860" s="52"/>
      <c r="P860" s="41"/>
    </row>
    <row r="861" spans="1:16" ht="15.75" customHeight="1" x14ac:dyDescent="0.25">
      <c r="A861" s="50"/>
      <c r="D861" s="51"/>
      <c r="E861" s="51"/>
      <c r="K861" s="51"/>
      <c r="L861" s="52"/>
      <c r="P861" s="41"/>
    </row>
    <row r="862" spans="1:16" ht="15.75" customHeight="1" x14ac:dyDescent="0.25">
      <c r="A862" s="50"/>
      <c r="D862" s="51"/>
      <c r="E862" s="51"/>
      <c r="K862" s="51"/>
      <c r="L862" s="52"/>
      <c r="P862" s="41"/>
    </row>
    <row r="863" spans="1:16" ht="15.75" customHeight="1" x14ac:dyDescent="0.25">
      <c r="A863" s="50"/>
      <c r="D863" s="51"/>
      <c r="E863" s="51"/>
      <c r="K863" s="51"/>
      <c r="L863" s="52"/>
      <c r="P863" s="41"/>
    </row>
    <row r="864" spans="1:16" ht="15.75" customHeight="1" x14ac:dyDescent="0.25">
      <c r="A864" s="50"/>
      <c r="D864" s="51"/>
      <c r="E864" s="51"/>
      <c r="K864" s="51"/>
      <c r="L864" s="52"/>
      <c r="P864" s="41"/>
    </row>
    <row r="865" spans="1:16" ht="15.75" customHeight="1" x14ac:dyDescent="0.25">
      <c r="A865" s="50"/>
      <c r="D865" s="51"/>
      <c r="E865" s="51"/>
      <c r="K865" s="51"/>
      <c r="L865" s="52"/>
      <c r="P865" s="41"/>
    </row>
    <row r="866" spans="1:16" ht="15.75" customHeight="1" x14ac:dyDescent="0.25">
      <c r="A866" s="50"/>
      <c r="D866" s="51"/>
      <c r="E866" s="51"/>
      <c r="K866" s="51"/>
      <c r="L866" s="52"/>
      <c r="P866" s="41"/>
    </row>
    <row r="867" spans="1:16" ht="15.75" customHeight="1" x14ac:dyDescent="0.25">
      <c r="A867" s="50"/>
      <c r="D867" s="51"/>
      <c r="E867" s="51"/>
      <c r="K867" s="51"/>
      <c r="L867" s="52"/>
      <c r="P867" s="41"/>
    </row>
    <row r="868" spans="1:16" ht="15.75" customHeight="1" x14ac:dyDescent="0.25">
      <c r="A868" s="50"/>
      <c r="D868" s="51"/>
      <c r="E868" s="51"/>
      <c r="K868" s="51"/>
      <c r="L868" s="52"/>
      <c r="P868" s="41"/>
    </row>
    <row r="869" spans="1:16" ht="15.75" customHeight="1" x14ac:dyDescent="0.25">
      <c r="A869" s="50"/>
      <c r="D869" s="51"/>
      <c r="E869" s="51"/>
      <c r="K869" s="51"/>
      <c r="L869" s="52"/>
      <c r="P869" s="41"/>
    </row>
    <row r="870" spans="1:16" ht="15.75" customHeight="1" x14ac:dyDescent="0.25">
      <c r="A870" s="50"/>
      <c r="D870" s="51"/>
      <c r="E870" s="51"/>
      <c r="K870" s="51"/>
      <c r="L870" s="52"/>
      <c r="P870" s="41"/>
    </row>
    <row r="871" spans="1:16" ht="15.75" customHeight="1" x14ac:dyDescent="0.25">
      <c r="A871" s="50"/>
      <c r="D871" s="51"/>
      <c r="E871" s="51"/>
      <c r="K871" s="51"/>
      <c r="L871" s="52"/>
      <c r="P871" s="41"/>
    </row>
    <row r="872" spans="1:16" ht="15.75" customHeight="1" x14ac:dyDescent="0.25">
      <c r="A872" s="50"/>
      <c r="D872" s="51"/>
      <c r="E872" s="51"/>
      <c r="K872" s="51"/>
      <c r="L872" s="52"/>
      <c r="P872" s="41"/>
    </row>
    <row r="873" spans="1:16" ht="15.75" customHeight="1" x14ac:dyDescent="0.25">
      <c r="A873" s="50"/>
      <c r="D873" s="51"/>
      <c r="E873" s="51"/>
      <c r="K873" s="51"/>
      <c r="L873" s="52"/>
      <c r="P873" s="41"/>
    </row>
    <row r="874" spans="1:16" ht="15.75" customHeight="1" x14ac:dyDescent="0.25">
      <c r="A874" s="50"/>
      <c r="D874" s="51"/>
      <c r="E874" s="51"/>
      <c r="K874" s="51"/>
      <c r="L874" s="52"/>
      <c r="P874" s="41"/>
    </row>
    <row r="875" spans="1:16" ht="15.75" customHeight="1" x14ac:dyDescent="0.25">
      <c r="A875" s="50"/>
      <c r="D875" s="51"/>
      <c r="E875" s="51"/>
      <c r="K875" s="51"/>
      <c r="L875" s="52"/>
      <c r="P875" s="41"/>
    </row>
    <row r="876" spans="1:16" ht="15.75" customHeight="1" x14ac:dyDescent="0.25">
      <c r="A876" s="50"/>
      <c r="D876" s="51"/>
      <c r="E876" s="51"/>
      <c r="K876" s="51"/>
      <c r="L876" s="52"/>
      <c r="P876" s="41"/>
    </row>
    <row r="877" spans="1:16" ht="15.75" customHeight="1" x14ac:dyDescent="0.25">
      <c r="A877" s="50"/>
      <c r="D877" s="51"/>
      <c r="E877" s="51"/>
      <c r="K877" s="51"/>
      <c r="L877" s="52"/>
      <c r="P877" s="41"/>
    </row>
    <row r="878" spans="1:16" ht="15.75" customHeight="1" x14ac:dyDescent="0.25">
      <c r="A878" s="50"/>
      <c r="D878" s="51"/>
      <c r="E878" s="51"/>
      <c r="K878" s="51"/>
      <c r="L878" s="52"/>
      <c r="P878" s="41"/>
    </row>
    <row r="879" spans="1:16" ht="15.75" customHeight="1" x14ac:dyDescent="0.25">
      <c r="A879" s="50"/>
      <c r="D879" s="51"/>
      <c r="E879" s="51"/>
      <c r="K879" s="51"/>
      <c r="L879" s="52"/>
      <c r="P879" s="41"/>
    </row>
    <row r="880" spans="1:16" ht="15.75" customHeight="1" x14ac:dyDescent="0.25">
      <c r="A880" s="50"/>
      <c r="D880" s="51"/>
      <c r="E880" s="51"/>
      <c r="K880" s="51"/>
      <c r="L880" s="52"/>
      <c r="P880" s="41"/>
    </row>
    <row r="881" spans="1:16" ht="15.75" customHeight="1" x14ac:dyDescent="0.25">
      <c r="A881" s="50"/>
      <c r="D881" s="51"/>
      <c r="E881" s="51"/>
      <c r="K881" s="51"/>
      <c r="L881" s="52"/>
      <c r="P881" s="41"/>
    </row>
    <row r="882" spans="1:16" ht="15.75" customHeight="1" x14ac:dyDescent="0.25">
      <c r="A882" s="50"/>
      <c r="D882" s="51"/>
      <c r="E882" s="51"/>
      <c r="K882" s="51"/>
      <c r="L882" s="52"/>
      <c r="P882" s="41"/>
    </row>
    <row r="883" spans="1:16" ht="15.75" customHeight="1" x14ac:dyDescent="0.25">
      <c r="A883" s="50"/>
      <c r="D883" s="51"/>
      <c r="E883" s="51"/>
      <c r="K883" s="51"/>
      <c r="L883" s="52"/>
      <c r="P883" s="41"/>
    </row>
    <row r="884" spans="1:16" ht="15.75" customHeight="1" x14ac:dyDescent="0.25">
      <c r="A884" s="50"/>
      <c r="D884" s="51"/>
      <c r="E884" s="51"/>
      <c r="K884" s="51"/>
      <c r="L884" s="52"/>
      <c r="P884" s="41"/>
    </row>
    <row r="885" spans="1:16" ht="15.75" customHeight="1" x14ac:dyDescent="0.25">
      <c r="A885" s="50"/>
      <c r="D885" s="51"/>
      <c r="E885" s="51"/>
      <c r="K885" s="51"/>
      <c r="L885" s="52"/>
      <c r="P885" s="41"/>
    </row>
    <row r="886" spans="1:16" ht="15.75" customHeight="1" x14ac:dyDescent="0.25">
      <c r="A886" s="50"/>
      <c r="D886" s="51"/>
      <c r="E886" s="51"/>
      <c r="K886" s="51"/>
      <c r="L886" s="52"/>
      <c r="P886" s="41"/>
    </row>
    <row r="887" spans="1:16" ht="15.75" customHeight="1" x14ac:dyDescent="0.25">
      <c r="A887" s="50"/>
      <c r="D887" s="51"/>
      <c r="E887" s="51"/>
      <c r="K887" s="51"/>
      <c r="L887" s="52"/>
      <c r="P887" s="41"/>
    </row>
    <row r="888" spans="1:16" ht="15.75" customHeight="1" x14ac:dyDescent="0.25">
      <c r="A888" s="50"/>
      <c r="D888" s="51"/>
      <c r="E888" s="51"/>
      <c r="K888" s="51"/>
      <c r="L888" s="52"/>
      <c r="P888" s="41"/>
    </row>
    <row r="889" spans="1:16" ht="15.75" customHeight="1" x14ac:dyDescent="0.25">
      <c r="A889" s="50"/>
      <c r="D889" s="51"/>
      <c r="E889" s="51"/>
      <c r="K889" s="51"/>
      <c r="L889" s="52"/>
      <c r="P889" s="41"/>
    </row>
    <row r="890" spans="1:16" ht="15.75" customHeight="1" x14ac:dyDescent="0.25">
      <c r="A890" s="50"/>
      <c r="D890" s="51"/>
      <c r="E890" s="51"/>
      <c r="K890" s="51"/>
      <c r="L890" s="52"/>
      <c r="P890" s="41"/>
    </row>
    <row r="891" spans="1:16" ht="15.75" customHeight="1" x14ac:dyDescent="0.25">
      <c r="A891" s="50"/>
      <c r="D891" s="51"/>
      <c r="E891" s="51"/>
      <c r="K891" s="51"/>
      <c r="L891" s="52"/>
      <c r="P891" s="41"/>
    </row>
    <row r="892" spans="1:16" ht="15.75" customHeight="1" x14ac:dyDescent="0.25">
      <c r="A892" s="50"/>
      <c r="D892" s="51"/>
      <c r="E892" s="51"/>
      <c r="K892" s="51"/>
      <c r="L892" s="52"/>
      <c r="P892" s="41"/>
    </row>
    <row r="893" spans="1:16" ht="15.75" customHeight="1" x14ac:dyDescent="0.25">
      <c r="A893" s="50"/>
      <c r="D893" s="51"/>
      <c r="E893" s="51"/>
      <c r="K893" s="51"/>
      <c r="L893" s="52"/>
      <c r="P893" s="41"/>
    </row>
    <row r="894" spans="1:16" ht="15.75" customHeight="1" x14ac:dyDescent="0.25">
      <c r="A894" s="50"/>
      <c r="D894" s="51"/>
      <c r="E894" s="51"/>
      <c r="K894" s="51"/>
      <c r="L894" s="52"/>
      <c r="P894" s="41"/>
    </row>
    <row r="895" spans="1:16" ht="15.75" customHeight="1" x14ac:dyDescent="0.25">
      <c r="A895" s="50"/>
      <c r="D895" s="51"/>
      <c r="E895" s="51"/>
      <c r="K895" s="51"/>
      <c r="L895" s="52"/>
      <c r="P895" s="41"/>
    </row>
    <row r="896" spans="1:16" ht="15.75" customHeight="1" x14ac:dyDescent="0.25">
      <c r="A896" s="50"/>
      <c r="D896" s="51"/>
      <c r="E896" s="51"/>
      <c r="K896" s="51"/>
      <c r="L896" s="52"/>
      <c r="P896" s="41"/>
    </row>
    <row r="897" spans="1:16" ht="15.75" customHeight="1" x14ac:dyDescent="0.25">
      <c r="A897" s="50"/>
      <c r="D897" s="51"/>
      <c r="E897" s="51"/>
      <c r="K897" s="51"/>
      <c r="L897" s="52"/>
      <c r="P897" s="41"/>
    </row>
    <row r="898" spans="1:16" ht="15.75" customHeight="1" x14ac:dyDescent="0.25">
      <c r="A898" s="50"/>
      <c r="D898" s="51"/>
      <c r="E898" s="51"/>
      <c r="K898" s="51"/>
      <c r="L898" s="52"/>
      <c r="P898" s="41"/>
    </row>
    <row r="899" spans="1:16" ht="15.75" customHeight="1" x14ac:dyDescent="0.25">
      <c r="A899" s="50"/>
      <c r="D899" s="51"/>
      <c r="E899" s="51"/>
      <c r="K899" s="51"/>
      <c r="L899" s="52"/>
      <c r="P899" s="41"/>
    </row>
    <row r="900" spans="1:16" ht="15.75" customHeight="1" x14ac:dyDescent="0.25">
      <c r="A900" s="50"/>
      <c r="D900" s="51"/>
      <c r="E900" s="51"/>
      <c r="K900" s="51"/>
      <c r="L900" s="52"/>
      <c r="P900" s="41"/>
    </row>
    <row r="901" spans="1:16" ht="15.75" customHeight="1" x14ac:dyDescent="0.25">
      <c r="A901" s="50"/>
      <c r="D901" s="51"/>
      <c r="E901" s="51"/>
      <c r="K901" s="51"/>
      <c r="L901" s="52"/>
      <c r="P901" s="41"/>
    </row>
    <row r="902" spans="1:16" ht="15.75" customHeight="1" x14ac:dyDescent="0.25">
      <c r="A902" s="50"/>
      <c r="D902" s="51"/>
      <c r="E902" s="51"/>
      <c r="K902" s="51"/>
      <c r="L902" s="52"/>
      <c r="P902" s="41"/>
    </row>
    <row r="903" spans="1:16" ht="15.75" customHeight="1" x14ac:dyDescent="0.25">
      <c r="A903" s="50"/>
      <c r="D903" s="51"/>
      <c r="E903" s="51"/>
      <c r="K903" s="51"/>
      <c r="L903" s="52"/>
      <c r="P903" s="41"/>
    </row>
    <row r="904" spans="1:16" ht="15.75" customHeight="1" x14ac:dyDescent="0.25">
      <c r="A904" s="50"/>
      <c r="D904" s="51"/>
      <c r="E904" s="51"/>
      <c r="K904" s="51"/>
      <c r="L904" s="52"/>
      <c r="P904" s="41"/>
    </row>
    <row r="905" spans="1:16" ht="15.75" customHeight="1" x14ac:dyDescent="0.25">
      <c r="A905" s="50"/>
      <c r="D905" s="51"/>
      <c r="E905" s="51"/>
      <c r="K905" s="51"/>
      <c r="L905" s="52"/>
      <c r="P905" s="41"/>
    </row>
    <row r="906" spans="1:16" ht="15.75" customHeight="1" x14ac:dyDescent="0.25">
      <c r="A906" s="50"/>
      <c r="D906" s="51"/>
      <c r="E906" s="51"/>
      <c r="K906" s="51"/>
      <c r="L906" s="52"/>
      <c r="P906" s="41"/>
    </row>
    <row r="907" spans="1:16" ht="15.75" customHeight="1" x14ac:dyDescent="0.25">
      <c r="A907" s="50"/>
      <c r="D907" s="51"/>
      <c r="E907" s="51"/>
      <c r="K907" s="51"/>
      <c r="L907" s="52"/>
      <c r="P907" s="41"/>
    </row>
    <row r="908" spans="1:16" ht="15.75" customHeight="1" x14ac:dyDescent="0.25">
      <c r="A908" s="50"/>
      <c r="D908" s="51"/>
      <c r="E908" s="51"/>
      <c r="K908" s="51"/>
      <c r="L908" s="52"/>
      <c r="P908" s="41"/>
    </row>
    <row r="909" spans="1:16" ht="15.75" customHeight="1" x14ac:dyDescent="0.25">
      <c r="A909" s="50"/>
      <c r="D909" s="51"/>
      <c r="E909" s="51"/>
      <c r="K909" s="51"/>
      <c r="L909" s="52"/>
      <c r="P909" s="41"/>
    </row>
    <row r="910" spans="1:16" ht="15.75" customHeight="1" x14ac:dyDescent="0.25">
      <c r="A910" s="50"/>
      <c r="D910" s="51"/>
      <c r="E910" s="51"/>
      <c r="K910" s="51"/>
      <c r="L910" s="52"/>
      <c r="P910" s="41"/>
    </row>
    <row r="911" spans="1:16" ht="15.75" customHeight="1" x14ac:dyDescent="0.25">
      <c r="A911" s="50"/>
      <c r="D911" s="51"/>
      <c r="E911" s="51"/>
      <c r="K911" s="51"/>
      <c r="L911" s="52"/>
      <c r="P911" s="41"/>
    </row>
    <row r="912" spans="1:16" ht="15.75" customHeight="1" x14ac:dyDescent="0.25">
      <c r="A912" s="50"/>
      <c r="D912" s="51"/>
      <c r="E912" s="51"/>
      <c r="K912" s="51"/>
      <c r="L912" s="52"/>
      <c r="P912" s="41"/>
    </row>
    <row r="913" spans="1:16" ht="15.75" customHeight="1" x14ac:dyDescent="0.25">
      <c r="A913" s="50"/>
      <c r="D913" s="51"/>
      <c r="E913" s="51"/>
      <c r="K913" s="51"/>
      <c r="L913" s="52"/>
      <c r="P913" s="41"/>
    </row>
    <row r="914" spans="1:16" ht="15.75" customHeight="1" x14ac:dyDescent="0.25">
      <c r="A914" s="50"/>
      <c r="D914" s="51"/>
      <c r="E914" s="51"/>
      <c r="K914" s="51"/>
      <c r="L914" s="52"/>
      <c r="P914" s="41"/>
    </row>
    <row r="915" spans="1:16" ht="15.75" customHeight="1" x14ac:dyDescent="0.25">
      <c r="A915" s="50"/>
      <c r="D915" s="51"/>
      <c r="E915" s="51"/>
      <c r="K915" s="51"/>
      <c r="L915" s="52"/>
      <c r="P915" s="41"/>
    </row>
    <row r="916" spans="1:16" ht="15.75" customHeight="1" x14ac:dyDescent="0.25">
      <c r="A916" s="50"/>
      <c r="D916" s="51"/>
      <c r="E916" s="51"/>
      <c r="K916" s="51"/>
      <c r="L916" s="52"/>
      <c r="P916" s="41"/>
    </row>
    <row r="917" spans="1:16" ht="15.75" customHeight="1" x14ac:dyDescent="0.25">
      <c r="A917" s="50"/>
      <c r="D917" s="51"/>
      <c r="E917" s="51"/>
      <c r="K917" s="51"/>
      <c r="L917" s="52"/>
      <c r="P917" s="41"/>
    </row>
    <row r="918" spans="1:16" ht="15.75" customHeight="1" x14ac:dyDescent="0.25">
      <c r="A918" s="50"/>
      <c r="D918" s="51"/>
      <c r="E918" s="51"/>
      <c r="K918" s="51"/>
      <c r="L918" s="52"/>
      <c r="P918" s="41"/>
    </row>
    <row r="919" spans="1:16" ht="15.75" customHeight="1" x14ac:dyDescent="0.25">
      <c r="A919" s="50"/>
      <c r="D919" s="51"/>
      <c r="E919" s="51"/>
      <c r="K919" s="51"/>
      <c r="L919" s="52"/>
      <c r="P919" s="41"/>
    </row>
    <row r="920" spans="1:16" ht="15.75" customHeight="1" x14ac:dyDescent="0.25">
      <c r="A920" s="50"/>
      <c r="D920" s="51"/>
      <c r="E920" s="51"/>
      <c r="K920" s="51"/>
      <c r="L920" s="52"/>
      <c r="P920" s="41"/>
    </row>
    <row r="921" spans="1:16" ht="15.75" customHeight="1" x14ac:dyDescent="0.25">
      <c r="A921" s="50"/>
      <c r="D921" s="51"/>
      <c r="E921" s="51"/>
      <c r="K921" s="51"/>
      <c r="L921" s="52"/>
      <c r="P921" s="41"/>
    </row>
    <row r="922" spans="1:16" ht="15.75" customHeight="1" x14ac:dyDescent="0.25">
      <c r="A922" s="50"/>
      <c r="D922" s="51"/>
      <c r="E922" s="51"/>
      <c r="K922" s="51"/>
      <c r="L922" s="52"/>
      <c r="P922" s="41"/>
    </row>
    <row r="923" spans="1:16" ht="15.75" customHeight="1" x14ac:dyDescent="0.25">
      <c r="A923" s="50"/>
      <c r="D923" s="51"/>
      <c r="E923" s="51"/>
      <c r="K923" s="51"/>
      <c r="L923" s="52"/>
      <c r="P923" s="41"/>
    </row>
    <row r="924" spans="1:16" ht="15.75" customHeight="1" x14ac:dyDescent="0.25">
      <c r="A924" s="50"/>
      <c r="D924" s="51"/>
      <c r="E924" s="51"/>
      <c r="K924" s="51"/>
      <c r="L924" s="52"/>
      <c r="P924" s="41"/>
    </row>
    <row r="925" spans="1:16" ht="15.75" customHeight="1" x14ac:dyDescent="0.25">
      <c r="A925" s="50"/>
      <c r="D925" s="51"/>
      <c r="E925" s="51"/>
      <c r="K925" s="51"/>
      <c r="L925" s="52"/>
      <c r="P925" s="41"/>
    </row>
    <row r="926" spans="1:16" ht="15.75" customHeight="1" x14ac:dyDescent="0.25">
      <c r="A926" s="50"/>
      <c r="D926" s="51"/>
      <c r="E926" s="51"/>
      <c r="K926" s="51"/>
      <c r="L926" s="52"/>
      <c r="P926" s="41"/>
    </row>
    <row r="927" spans="1:16" ht="15.75" customHeight="1" x14ac:dyDescent="0.25">
      <c r="A927" s="50"/>
      <c r="D927" s="51"/>
      <c r="E927" s="51"/>
      <c r="K927" s="51"/>
      <c r="L927" s="52"/>
      <c r="P927" s="41"/>
    </row>
    <row r="928" spans="1:16" ht="15.75" customHeight="1" x14ac:dyDescent="0.25">
      <c r="A928" s="50"/>
      <c r="D928" s="51"/>
      <c r="E928" s="51"/>
      <c r="K928" s="51"/>
      <c r="L928" s="52"/>
      <c r="P928" s="41"/>
    </row>
    <row r="929" spans="1:16" ht="15.75" customHeight="1" x14ac:dyDescent="0.25">
      <c r="A929" s="50"/>
      <c r="D929" s="51"/>
      <c r="E929" s="51"/>
      <c r="K929" s="51"/>
      <c r="L929" s="52"/>
      <c r="P929" s="41"/>
    </row>
    <row r="930" spans="1:16" ht="15.75" customHeight="1" x14ac:dyDescent="0.25">
      <c r="A930" s="50"/>
      <c r="D930" s="51"/>
      <c r="E930" s="51"/>
      <c r="K930" s="51"/>
      <c r="L930" s="52"/>
      <c r="P930" s="41"/>
    </row>
    <row r="931" spans="1:16" ht="15.75" customHeight="1" x14ac:dyDescent="0.25">
      <c r="A931" s="50"/>
      <c r="D931" s="51"/>
      <c r="E931" s="51"/>
      <c r="K931" s="51"/>
      <c r="L931" s="52"/>
      <c r="P931" s="41"/>
    </row>
    <row r="932" spans="1:16" ht="15.75" customHeight="1" x14ac:dyDescent="0.25">
      <c r="A932" s="50"/>
      <c r="D932" s="51"/>
      <c r="E932" s="51"/>
      <c r="K932" s="51"/>
      <c r="L932" s="52"/>
      <c r="P932" s="41"/>
    </row>
    <row r="933" spans="1:16" ht="15.75" customHeight="1" x14ac:dyDescent="0.25">
      <c r="A933" s="50"/>
      <c r="D933" s="51"/>
      <c r="E933" s="51"/>
      <c r="K933" s="51"/>
      <c r="L933" s="52"/>
      <c r="P933" s="41"/>
    </row>
    <row r="934" spans="1:16" ht="15.75" customHeight="1" x14ac:dyDescent="0.25">
      <c r="A934" s="50"/>
      <c r="D934" s="51"/>
      <c r="E934" s="51"/>
      <c r="K934" s="51"/>
      <c r="L934" s="52"/>
      <c r="P934" s="41"/>
    </row>
    <row r="935" spans="1:16" ht="15.75" customHeight="1" x14ac:dyDescent="0.25">
      <c r="A935" s="50"/>
      <c r="D935" s="51"/>
      <c r="E935" s="51"/>
      <c r="K935" s="51"/>
      <c r="L935" s="52"/>
      <c r="P935" s="41"/>
    </row>
    <row r="936" spans="1:16" ht="15.75" customHeight="1" x14ac:dyDescent="0.25">
      <c r="A936" s="50"/>
      <c r="D936" s="51"/>
      <c r="E936" s="51"/>
      <c r="K936" s="51"/>
      <c r="L936" s="52"/>
      <c r="P936" s="41"/>
    </row>
    <row r="937" spans="1:16" ht="15.75" customHeight="1" x14ac:dyDescent="0.25">
      <c r="A937" s="50"/>
      <c r="D937" s="51"/>
      <c r="E937" s="51"/>
      <c r="K937" s="51"/>
      <c r="L937" s="52"/>
      <c r="P937" s="41"/>
    </row>
    <row r="938" spans="1:16" ht="15.75" customHeight="1" x14ac:dyDescent="0.25">
      <c r="A938" s="50"/>
      <c r="D938" s="51"/>
      <c r="E938" s="51"/>
      <c r="K938" s="51"/>
      <c r="L938" s="52"/>
      <c r="P938" s="41"/>
    </row>
    <row r="939" spans="1:16" ht="15.75" customHeight="1" x14ac:dyDescent="0.25">
      <c r="A939" s="50"/>
      <c r="D939" s="51"/>
      <c r="E939" s="51"/>
      <c r="K939" s="51"/>
      <c r="L939" s="52"/>
      <c r="P939" s="41"/>
    </row>
    <row r="940" spans="1:16" ht="15.75" customHeight="1" x14ac:dyDescent="0.25">
      <c r="A940" s="50"/>
      <c r="D940" s="51"/>
      <c r="E940" s="51"/>
      <c r="K940" s="51"/>
      <c r="L940" s="52"/>
      <c r="P940" s="41"/>
    </row>
    <row r="941" spans="1:16" ht="15.75" customHeight="1" x14ac:dyDescent="0.25">
      <c r="A941" s="50"/>
      <c r="D941" s="51"/>
      <c r="E941" s="51"/>
      <c r="K941" s="51"/>
      <c r="L941" s="52"/>
      <c r="P941" s="41"/>
    </row>
    <row r="942" spans="1:16" ht="15.75" customHeight="1" x14ac:dyDescent="0.25">
      <c r="A942" s="50"/>
      <c r="D942" s="51"/>
      <c r="E942" s="51"/>
      <c r="K942" s="51"/>
      <c r="L942" s="52"/>
      <c r="P942" s="41"/>
    </row>
    <row r="943" spans="1:16" ht="15.75" customHeight="1" x14ac:dyDescent="0.25">
      <c r="A943" s="50"/>
      <c r="D943" s="51"/>
      <c r="E943" s="51"/>
      <c r="K943" s="51"/>
      <c r="L943" s="52"/>
      <c r="P943" s="41"/>
    </row>
    <row r="944" spans="1:16" ht="15.75" customHeight="1" x14ac:dyDescent="0.25">
      <c r="A944" s="50"/>
      <c r="D944" s="51"/>
      <c r="E944" s="51"/>
      <c r="K944" s="51"/>
      <c r="L944" s="52"/>
      <c r="P944" s="41"/>
    </row>
    <row r="945" spans="1:16" ht="15.75" customHeight="1" x14ac:dyDescent="0.25">
      <c r="A945" s="50"/>
      <c r="D945" s="51"/>
      <c r="E945" s="51"/>
      <c r="K945" s="51"/>
      <c r="L945" s="52"/>
      <c r="P945" s="41"/>
    </row>
    <row r="946" spans="1:16" ht="15.75" customHeight="1" x14ac:dyDescent="0.25">
      <c r="A946" s="50"/>
      <c r="D946" s="51"/>
      <c r="E946" s="51"/>
      <c r="K946" s="51"/>
      <c r="L946" s="52"/>
      <c r="P946" s="41"/>
    </row>
    <row r="947" spans="1:16" ht="15.75" customHeight="1" x14ac:dyDescent="0.25">
      <c r="A947" s="50"/>
      <c r="D947" s="51"/>
      <c r="E947" s="51"/>
      <c r="K947" s="51"/>
      <c r="L947" s="52"/>
      <c r="P947" s="41"/>
    </row>
    <row r="948" spans="1:16" ht="15.75" customHeight="1" x14ac:dyDescent="0.25">
      <c r="A948" s="50"/>
      <c r="D948" s="51"/>
      <c r="E948" s="51"/>
      <c r="K948" s="51"/>
      <c r="L948" s="52"/>
      <c r="P948" s="41"/>
    </row>
    <row r="949" spans="1:16" ht="15.75" customHeight="1" x14ac:dyDescent="0.25">
      <c r="A949" s="50"/>
      <c r="D949" s="51"/>
      <c r="E949" s="51"/>
      <c r="K949" s="51"/>
      <c r="L949" s="52"/>
      <c r="P949" s="41"/>
    </row>
    <row r="950" spans="1:16" ht="15.75" customHeight="1" x14ac:dyDescent="0.25">
      <c r="A950" s="50"/>
      <c r="D950" s="51"/>
      <c r="E950" s="51"/>
      <c r="K950" s="51"/>
      <c r="L950" s="52"/>
      <c r="P950" s="41"/>
    </row>
    <row r="951" spans="1:16" ht="15.75" customHeight="1" x14ac:dyDescent="0.25">
      <c r="A951" s="50"/>
      <c r="D951" s="51"/>
      <c r="E951" s="51"/>
      <c r="K951" s="51"/>
      <c r="L951" s="52"/>
      <c r="P951" s="41"/>
    </row>
    <row r="952" spans="1:16" ht="15.75" customHeight="1" x14ac:dyDescent="0.25">
      <c r="A952" s="50"/>
      <c r="D952" s="51"/>
      <c r="E952" s="51"/>
      <c r="K952" s="51"/>
      <c r="L952" s="52"/>
      <c r="P952" s="41"/>
    </row>
    <row r="953" spans="1:16" ht="15.75" customHeight="1" x14ac:dyDescent="0.25">
      <c r="A953" s="50"/>
      <c r="D953" s="51"/>
      <c r="E953" s="51"/>
      <c r="K953" s="51"/>
      <c r="L953" s="52"/>
      <c r="P953" s="41"/>
    </row>
    <row r="954" spans="1:16" ht="15.75" customHeight="1" x14ac:dyDescent="0.25">
      <c r="A954" s="50"/>
      <c r="D954" s="51"/>
      <c r="E954" s="51"/>
      <c r="K954" s="51"/>
      <c r="L954" s="52"/>
      <c r="P954" s="41"/>
    </row>
    <row r="955" spans="1:16" ht="15.75" customHeight="1" x14ac:dyDescent="0.25">
      <c r="A955" s="50"/>
      <c r="D955" s="51"/>
      <c r="E955" s="51"/>
      <c r="K955" s="51"/>
      <c r="L955" s="52"/>
      <c r="P955" s="41"/>
    </row>
    <row r="956" spans="1:16" ht="15.75" customHeight="1" x14ac:dyDescent="0.25">
      <c r="A956" s="50"/>
      <c r="D956" s="51"/>
      <c r="E956" s="51"/>
      <c r="K956" s="51"/>
      <c r="L956" s="52"/>
      <c r="P956" s="41"/>
    </row>
    <row r="957" spans="1:16" ht="15.75" customHeight="1" x14ac:dyDescent="0.25">
      <c r="A957" s="50"/>
      <c r="D957" s="51"/>
      <c r="E957" s="51"/>
      <c r="K957" s="51"/>
      <c r="L957" s="52"/>
      <c r="P957" s="41"/>
    </row>
    <row r="958" spans="1:16" ht="15.75" customHeight="1" x14ac:dyDescent="0.25">
      <c r="A958" s="50"/>
      <c r="D958" s="51"/>
      <c r="E958" s="51"/>
      <c r="K958" s="51"/>
      <c r="L958" s="52"/>
      <c r="P958" s="41"/>
    </row>
    <row r="959" spans="1:16" ht="15.75" customHeight="1" x14ac:dyDescent="0.25">
      <c r="A959" s="50"/>
      <c r="D959" s="51"/>
      <c r="E959" s="51"/>
      <c r="K959" s="51"/>
      <c r="L959" s="52"/>
      <c r="P959" s="41"/>
    </row>
    <row r="960" spans="1:16" ht="15.75" customHeight="1" x14ac:dyDescent="0.25">
      <c r="A960" s="50"/>
      <c r="D960" s="51"/>
      <c r="E960" s="51"/>
      <c r="K960" s="51"/>
      <c r="L960" s="52"/>
      <c r="P960" s="41"/>
    </row>
    <row r="961" spans="1:16" ht="15.75" customHeight="1" x14ac:dyDescent="0.25">
      <c r="A961" s="50"/>
      <c r="D961" s="51"/>
      <c r="E961" s="51"/>
      <c r="K961" s="51"/>
      <c r="L961" s="52"/>
      <c r="P961" s="41"/>
    </row>
    <row r="962" spans="1:16" ht="15.75" customHeight="1" x14ac:dyDescent="0.25">
      <c r="A962" s="50"/>
      <c r="D962" s="51"/>
      <c r="E962" s="51"/>
      <c r="K962" s="51"/>
      <c r="L962" s="52"/>
      <c r="P962" s="41"/>
    </row>
    <row r="963" spans="1:16" ht="15.75" customHeight="1" x14ac:dyDescent="0.25">
      <c r="A963" s="50"/>
      <c r="D963" s="51"/>
      <c r="E963" s="51"/>
      <c r="K963" s="51"/>
      <c r="L963" s="52"/>
      <c r="P963" s="41"/>
    </row>
    <row r="964" spans="1:16" ht="15.75" customHeight="1" x14ac:dyDescent="0.25">
      <c r="A964" s="50"/>
      <c r="D964" s="51"/>
      <c r="E964" s="51"/>
      <c r="K964" s="51"/>
      <c r="L964" s="52"/>
      <c r="P964" s="41"/>
    </row>
    <row r="965" spans="1:16" ht="15.75" customHeight="1" x14ac:dyDescent="0.25">
      <c r="A965" s="50"/>
      <c r="D965" s="51"/>
      <c r="E965" s="51"/>
      <c r="K965" s="51"/>
      <c r="L965" s="52"/>
      <c r="P965" s="41"/>
    </row>
    <row r="966" spans="1:16" ht="15.75" customHeight="1" x14ac:dyDescent="0.25">
      <c r="A966" s="50"/>
      <c r="D966" s="51"/>
      <c r="E966" s="51"/>
      <c r="K966" s="51"/>
      <c r="L966" s="52"/>
      <c r="P966" s="41"/>
    </row>
    <row r="967" spans="1:16" ht="15.75" customHeight="1" x14ac:dyDescent="0.25">
      <c r="A967" s="50"/>
      <c r="D967" s="51"/>
      <c r="E967" s="51"/>
      <c r="K967" s="51"/>
      <c r="L967" s="52"/>
      <c r="P967" s="41"/>
    </row>
    <row r="968" spans="1:16" ht="15.75" customHeight="1" x14ac:dyDescent="0.25">
      <c r="A968" s="50"/>
      <c r="D968" s="51"/>
      <c r="E968" s="51"/>
      <c r="K968" s="51"/>
      <c r="L968" s="52"/>
      <c r="P968" s="41"/>
    </row>
    <row r="969" spans="1:16" ht="15.75" customHeight="1" x14ac:dyDescent="0.25">
      <c r="A969" s="50"/>
      <c r="D969" s="51"/>
      <c r="E969" s="51"/>
      <c r="K969" s="51"/>
      <c r="L969" s="52"/>
      <c r="P969" s="41"/>
    </row>
    <row r="970" spans="1:16" ht="15.75" customHeight="1" x14ac:dyDescent="0.25">
      <c r="A970" s="50"/>
      <c r="D970" s="51"/>
      <c r="E970" s="51"/>
      <c r="K970" s="51"/>
      <c r="L970" s="52"/>
      <c r="P970" s="41"/>
    </row>
    <row r="971" spans="1:16" ht="15.75" customHeight="1" x14ac:dyDescent="0.25">
      <c r="A971" s="50"/>
      <c r="D971" s="51"/>
      <c r="E971" s="51"/>
      <c r="K971" s="51"/>
      <c r="L971" s="52"/>
      <c r="P971" s="41"/>
    </row>
    <row r="972" spans="1:16" ht="15.75" customHeight="1" x14ac:dyDescent="0.25">
      <c r="A972" s="50"/>
      <c r="D972" s="51"/>
      <c r="E972" s="51"/>
      <c r="K972" s="51"/>
      <c r="L972" s="52"/>
      <c r="P972" s="41"/>
    </row>
    <row r="973" spans="1:16" ht="15.75" customHeight="1" x14ac:dyDescent="0.25">
      <c r="A973" s="50"/>
      <c r="D973" s="51"/>
      <c r="E973" s="51"/>
      <c r="K973" s="51"/>
      <c r="L973" s="52"/>
      <c r="P973" s="41"/>
    </row>
    <row r="974" spans="1:16" ht="15.75" customHeight="1" x14ac:dyDescent="0.25">
      <c r="A974" s="50"/>
      <c r="D974" s="51"/>
      <c r="E974" s="51"/>
      <c r="K974" s="51"/>
      <c r="L974" s="52"/>
      <c r="P974" s="41"/>
    </row>
    <row r="975" spans="1:16" ht="15.75" customHeight="1" x14ac:dyDescent="0.25">
      <c r="A975" s="50"/>
      <c r="D975" s="51"/>
      <c r="E975" s="51"/>
      <c r="K975" s="51"/>
      <c r="L975" s="52"/>
      <c r="P975" s="41"/>
    </row>
    <row r="976" spans="1:16" ht="15.75" customHeight="1" x14ac:dyDescent="0.25">
      <c r="A976" s="50"/>
      <c r="D976" s="51"/>
      <c r="E976" s="51"/>
      <c r="K976" s="51"/>
      <c r="L976" s="52"/>
      <c r="P976" s="41"/>
    </row>
    <row r="977" spans="1:16" ht="15.75" customHeight="1" x14ac:dyDescent="0.25">
      <c r="A977" s="50"/>
      <c r="D977" s="51"/>
      <c r="E977" s="51"/>
      <c r="K977" s="51"/>
      <c r="L977" s="52"/>
      <c r="P977" s="41"/>
    </row>
    <row r="978" spans="1:16" ht="15.75" customHeight="1" x14ac:dyDescent="0.25">
      <c r="A978" s="50"/>
      <c r="D978" s="51"/>
      <c r="E978" s="51"/>
      <c r="K978" s="51"/>
      <c r="L978" s="52"/>
      <c r="P978" s="41"/>
    </row>
    <row r="979" spans="1:16" ht="15.75" customHeight="1" x14ac:dyDescent="0.25">
      <c r="A979" s="50"/>
      <c r="D979" s="51"/>
      <c r="E979" s="51"/>
      <c r="K979" s="51"/>
      <c r="L979" s="52"/>
      <c r="P979" s="41"/>
    </row>
    <row r="980" spans="1:16" ht="15.75" customHeight="1" x14ac:dyDescent="0.25">
      <c r="A980" s="50"/>
      <c r="D980" s="51"/>
      <c r="E980" s="51"/>
      <c r="K980" s="51"/>
      <c r="L980" s="52"/>
      <c r="P980" s="41"/>
    </row>
    <row r="981" spans="1:16" ht="15.75" customHeight="1" x14ac:dyDescent="0.25">
      <c r="A981" s="50"/>
      <c r="D981" s="51"/>
      <c r="E981" s="51"/>
      <c r="K981" s="51"/>
      <c r="L981" s="52"/>
      <c r="P981" s="41"/>
    </row>
    <row r="982" spans="1:16" ht="15.75" customHeight="1" x14ac:dyDescent="0.25">
      <c r="A982" s="50"/>
      <c r="D982" s="51"/>
      <c r="E982" s="51"/>
      <c r="K982" s="51"/>
      <c r="L982" s="52"/>
      <c r="P982" s="41"/>
    </row>
    <row r="983" spans="1:16" ht="15.75" customHeight="1" x14ac:dyDescent="0.25">
      <c r="A983" s="50"/>
      <c r="D983" s="51"/>
      <c r="E983" s="51"/>
      <c r="K983" s="51"/>
      <c r="L983" s="52"/>
      <c r="P983" s="41"/>
    </row>
    <row r="984" spans="1:16" ht="15.75" customHeight="1" x14ac:dyDescent="0.25">
      <c r="A984" s="50"/>
      <c r="D984" s="51"/>
      <c r="E984" s="51"/>
      <c r="K984" s="51"/>
      <c r="L984" s="52"/>
      <c r="P984" s="41"/>
    </row>
    <row r="985" spans="1:16" ht="15.75" customHeight="1" x14ac:dyDescent="0.25">
      <c r="A985" s="50"/>
      <c r="D985" s="51"/>
      <c r="E985" s="51"/>
      <c r="K985" s="51"/>
      <c r="L985" s="52"/>
      <c r="P985" s="41"/>
    </row>
    <row r="986" spans="1:16" ht="15.75" customHeight="1" x14ac:dyDescent="0.25">
      <c r="A986" s="50"/>
      <c r="D986" s="51"/>
      <c r="E986" s="51"/>
      <c r="K986" s="51"/>
      <c r="L986" s="52"/>
      <c r="P986" s="41"/>
    </row>
    <row r="987" spans="1:16" ht="15.75" customHeight="1" x14ac:dyDescent="0.25">
      <c r="A987" s="50"/>
      <c r="D987" s="51"/>
      <c r="E987" s="51"/>
      <c r="K987" s="51"/>
      <c r="L987" s="52"/>
      <c r="P987" s="41"/>
    </row>
    <row r="988" spans="1:16" ht="15.75" customHeight="1" x14ac:dyDescent="0.25">
      <c r="A988" s="50"/>
      <c r="D988" s="51"/>
      <c r="E988" s="51"/>
      <c r="K988" s="51"/>
      <c r="L988" s="52"/>
      <c r="P988" s="41"/>
    </row>
    <row r="989" spans="1:16" ht="15.75" customHeight="1" x14ac:dyDescent="0.25">
      <c r="A989" s="50"/>
      <c r="D989" s="51"/>
      <c r="E989" s="51"/>
      <c r="K989" s="51"/>
      <c r="L989" s="52"/>
      <c r="P989" s="41"/>
    </row>
    <row r="990" spans="1:16" ht="15.75" customHeight="1" x14ac:dyDescent="0.25">
      <c r="A990" s="50"/>
      <c r="D990" s="51"/>
      <c r="E990" s="51"/>
      <c r="K990" s="51"/>
      <c r="L990" s="52"/>
      <c r="P990" s="41"/>
    </row>
    <row r="991" spans="1:16" ht="15.75" customHeight="1" x14ac:dyDescent="0.25">
      <c r="A991" s="50"/>
      <c r="D991" s="51"/>
      <c r="E991" s="51"/>
      <c r="K991" s="51"/>
      <c r="L991" s="52"/>
      <c r="P991" s="41"/>
    </row>
    <row r="992" spans="1:16" ht="15.75" customHeight="1" x14ac:dyDescent="0.25">
      <c r="A992" s="50"/>
      <c r="D992" s="51"/>
      <c r="E992" s="51"/>
      <c r="K992" s="51"/>
      <c r="L992" s="52"/>
      <c r="P992" s="41"/>
    </row>
    <row r="993" spans="1:16" ht="15.75" customHeight="1" x14ac:dyDescent="0.25">
      <c r="A993" s="50"/>
      <c r="D993" s="51"/>
      <c r="E993" s="51"/>
      <c r="K993" s="51"/>
      <c r="L993" s="52"/>
      <c r="P993" s="41"/>
    </row>
    <row r="994" spans="1:16" ht="15.75" customHeight="1" x14ac:dyDescent="0.25">
      <c r="A994" s="50"/>
      <c r="D994" s="51"/>
      <c r="E994" s="51"/>
      <c r="K994" s="51"/>
      <c r="L994" s="52"/>
      <c r="P994" s="41"/>
    </row>
    <row r="995" spans="1:16" ht="15.75" customHeight="1" x14ac:dyDescent="0.25">
      <c r="A995" s="50"/>
      <c r="D995" s="51"/>
      <c r="E995" s="51"/>
      <c r="K995" s="51"/>
      <c r="L995" s="52"/>
      <c r="P995" s="41"/>
    </row>
    <row r="996" spans="1:16" ht="15.75" customHeight="1" x14ac:dyDescent="0.25">
      <c r="A996" s="50"/>
      <c r="D996" s="51"/>
      <c r="E996" s="51"/>
      <c r="K996" s="51"/>
      <c r="L996" s="52"/>
      <c r="P996" s="41"/>
    </row>
    <row r="997" spans="1:16" ht="15.75" customHeight="1" x14ac:dyDescent="0.25">
      <c r="A997" s="50"/>
      <c r="D997" s="51"/>
      <c r="E997" s="51"/>
      <c r="K997" s="51"/>
      <c r="L997" s="52"/>
      <c r="P997" s="41"/>
    </row>
    <row r="998" spans="1:16" ht="15.75" customHeight="1" x14ac:dyDescent="0.25">
      <c r="A998" s="50"/>
      <c r="D998" s="51"/>
      <c r="E998" s="51"/>
      <c r="K998" s="51"/>
      <c r="L998" s="52"/>
      <c r="P998" s="41"/>
    </row>
    <row r="999" spans="1:16" ht="15.75" customHeight="1" x14ac:dyDescent="0.25">
      <c r="A999" s="50"/>
      <c r="D999" s="51"/>
      <c r="E999" s="51"/>
      <c r="K999" s="51"/>
      <c r="L999" s="52"/>
      <c r="P999" s="41"/>
    </row>
    <row r="1000" spans="1:16" ht="15.75" customHeight="1" x14ac:dyDescent="0.25">
      <c r="A1000" s="50"/>
      <c r="D1000" s="51"/>
      <c r="E1000" s="51"/>
      <c r="K1000" s="51"/>
      <c r="L1000" s="52"/>
      <c r="P1000" s="41"/>
    </row>
    <row r="1001" spans="1:16" ht="15.75" customHeight="1" x14ac:dyDescent="0.25">
      <c r="A1001" s="50"/>
      <c r="D1001" s="51"/>
      <c r="E1001" s="51"/>
      <c r="K1001" s="51"/>
      <c r="L1001" s="52"/>
      <c r="P1001" s="41"/>
    </row>
    <row r="1002" spans="1:16" ht="15.75" customHeight="1" x14ac:dyDescent="0.25">
      <c r="A1002" s="50"/>
      <c r="D1002" s="51"/>
      <c r="E1002" s="51"/>
      <c r="K1002" s="51"/>
      <c r="L1002" s="52"/>
      <c r="P1002" s="41"/>
    </row>
    <row r="1003" spans="1:16" ht="15.75" customHeight="1" x14ac:dyDescent="0.25">
      <c r="A1003" s="50"/>
      <c r="D1003" s="51"/>
      <c r="E1003" s="51"/>
      <c r="K1003" s="51"/>
      <c r="L1003" s="52"/>
      <c r="P1003" s="41"/>
    </row>
    <row r="1004" spans="1:16" ht="15.75" customHeight="1" x14ac:dyDescent="0.25">
      <c r="A1004" s="50"/>
      <c r="D1004" s="51"/>
      <c r="E1004" s="51"/>
      <c r="K1004" s="51"/>
      <c r="L1004" s="52"/>
      <c r="P1004" s="41"/>
    </row>
    <row r="1005" spans="1:16" ht="15.75" customHeight="1" x14ac:dyDescent="0.25">
      <c r="A1005" s="50"/>
      <c r="D1005" s="51"/>
      <c r="E1005" s="51"/>
      <c r="K1005" s="51"/>
      <c r="L1005" s="52"/>
      <c r="P1005" s="41"/>
    </row>
    <row r="1006" spans="1:16" ht="15.75" customHeight="1" x14ac:dyDescent="0.25">
      <c r="A1006" s="50"/>
      <c r="D1006" s="51"/>
      <c r="E1006" s="51"/>
      <c r="K1006" s="51"/>
      <c r="L1006" s="52"/>
      <c r="P1006" s="41"/>
    </row>
    <row r="1007" spans="1:16" ht="15.75" customHeight="1" x14ac:dyDescent="0.25">
      <c r="A1007" s="50"/>
      <c r="D1007" s="51"/>
      <c r="E1007" s="51"/>
      <c r="K1007" s="51"/>
      <c r="L1007" s="52"/>
      <c r="P1007" s="41"/>
    </row>
    <row r="1008" spans="1:16" ht="15.75" customHeight="1" x14ac:dyDescent="0.25">
      <c r="A1008" s="50"/>
      <c r="D1008" s="51"/>
      <c r="E1008" s="51"/>
      <c r="K1008" s="51"/>
      <c r="L1008" s="52"/>
      <c r="P1008" s="41"/>
    </row>
    <row r="1009" spans="1:16" ht="15.75" customHeight="1" x14ac:dyDescent="0.25">
      <c r="A1009" s="50"/>
      <c r="D1009" s="51"/>
      <c r="E1009" s="51"/>
      <c r="K1009" s="51"/>
      <c r="L1009" s="52"/>
      <c r="P1009" s="41"/>
    </row>
    <row r="1010" spans="1:16" ht="15.75" customHeight="1" x14ac:dyDescent="0.25">
      <c r="A1010" s="50"/>
      <c r="D1010" s="51"/>
      <c r="E1010" s="51"/>
      <c r="K1010" s="51"/>
      <c r="L1010" s="52"/>
      <c r="P1010" s="41"/>
    </row>
    <row r="1011" spans="1:16" ht="15.75" customHeight="1" x14ac:dyDescent="0.25">
      <c r="A1011" s="50"/>
      <c r="D1011" s="51"/>
      <c r="E1011" s="51"/>
      <c r="K1011" s="51"/>
      <c r="L1011" s="52"/>
      <c r="P1011" s="41"/>
    </row>
    <row r="1012" spans="1:16" ht="15.75" customHeight="1" x14ac:dyDescent="0.25">
      <c r="A1012" s="50"/>
      <c r="D1012" s="51"/>
      <c r="E1012" s="51"/>
      <c r="K1012" s="51"/>
      <c r="L1012" s="52"/>
      <c r="P1012" s="41"/>
    </row>
    <row r="1013" spans="1:16" ht="15.75" customHeight="1" x14ac:dyDescent="0.25">
      <c r="A1013" s="50"/>
      <c r="D1013" s="51"/>
      <c r="E1013" s="51"/>
      <c r="K1013" s="51"/>
      <c r="L1013" s="52"/>
      <c r="P1013" s="41"/>
    </row>
    <row r="1014" spans="1:16" ht="15.75" customHeight="1" x14ac:dyDescent="0.25">
      <c r="A1014" s="50"/>
      <c r="D1014" s="51"/>
      <c r="E1014" s="51"/>
      <c r="K1014" s="51"/>
      <c r="L1014" s="52"/>
      <c r="P1014" s="41"/>
    </row>
    <row r="1015" spans="1:16" ht="15.75" customHeight="1" x14ac:dyDescent="0.25">
      <c r="A1015" s="50"/>
      <c r="D1015" s="51"/>
      <c r="E1015" s="51"/>
      <c r="K1015" s="51"/>
      <c r="L1015" s="52"/>
      <c r="P1015" s="41"/>
    </row>
    <row r="1016" spans="1:16" ht="15.75" customHeight="1" x14ac:dyDescent="0.25">
      <c r="A1016" s="50"/>
      <c r="D1016" s="51"/>
      <c r="E1016" s="51"/>
      <c r="K1016" s="51"/>
      <c r="L1016" s="52"/>
      <c r="P1016" s="41"/>
    </row>
    <row r="1017" spans="1:16" ht="15.75" customHeight="1" x14ac:dyDescent="0.25">
      <c r="A1017" s="50"/>
      <c r="D1017" s="51"/>
      <c r="E1017" s="51"/>
      <c r="K1017" s="51"/>
      <c r="L1017" s="52"/>
      <c r="P1017" s="41"/>
    </row>
    <row r="1018" spans="1:16" ht="15.75" customHeight="1" x14ac:dyDescent="0.25">
      <c r="A1018" s="50"/>
      <c r="D1018" s="51"/>
      <c r="E1018" s="51"/>
      <c r="K1018" s="51"/>
      <c r="L1018" s="52"/>
      <c r="P1018" s="41"/>
    </row>
    <row r="1019" spans="1:16" ht="15.75" customHeight="1" x14ac:dyDescent="0.25">
      <c r="A1019" s="50"/>
      <c r="D1019" s="51"/>
      <c r="E1019" s="51"/>
      <c r="K1019" s="51"/>
      <c r="L1019" s="52"/>
      <c r="P1019" s="41"/>
    </row>
    <row r="1020" spans="1:16" ht="15.75" customHeight="1" x14ac:dyDescent="0.25">
      <c r="A1020" s="50"/>
      <c r="D1020" s="51"/>
      <c r="E1020" s="51"/>
      <c r="K1020" s="51"/>
      <c r="L1020" s="52"/>
      <c r="P1020" s="41"/>
    </row>
    <row r="1021" spans="1:16" ht="15.75" customHeight="1" x14ac:dyDescent="0.25">
      <c r="A1021" s="50"/>
      <c r="D1021" s="51"/>
      <c r="E1021" s="51"/>
      <c r="K1021" s="51"/>
      <c r="L1021" s="52"/>
      <c r="P1021" s="41"/>
    </row>
    <row r="1022" spans="1:16" ht="15.75" customHeight="1" x14ac:dyDescent="0.25">
      <c r="A1022" s="50"/>
      <c r="D1022" s="51"/>
      <c r="E1022" s="51"/>
      <c r="K1022" s="51"/>
      <c r="L1022" s="52"/>
      <c r="P1022" s="41"/>
    </row>
    <row r="1023" spans="1:16" ht="15.75" customHeight="1" x14ac:dyDescent="0.25">
      <c r="A1023" s="50"/>
      <c r="D1023" s="51"/>
      <c r="E1023" s="51"/>
      <c r="K1023" s="51"/>
      <c r="L1023" s="52"/>
      <c r="P1023" s="41"/>
    </row>
    <row r="1024" spans="1:16" ht="15.75" customHeight="1" x14ac:dyDescent="0.25">
      <c r="A1024" s="50"/>
      <c r="D1024" s="51"/>
      <c r="E1024" s="51"/>
      <c r="K1024" s="51"/>
      <c r="L1024" s="52"/>
      <c r="P1024" s="41"/>
    </row>
    <row r="1025" spans="1:16" ht="15.75" customHeight="1" x14ac:dyDescent="0.25">
      <c r="A1025" s="50"/>
      <c r="D1025" s="51"/>
      <c r="E1025" s="51"/>
      <c r="K1025" s="51"/>
      <c r="L1025" s="52"/>
      <c r="P1025" s="41"/>
    </row>
    <row r="1026" spans="1:16" ht="15.75" customHeight="1" x14ac:dyDescent="0.25">
      <c r="A1026" s="50"/>
      <c r="D1026" s="51"/>
      <c r="E1026" s="51"/>
      <c r="K1026" s="51"/>
      <c r="L1026" s="52"/>
      <c r="P1026" s="41"/>
    </row>
    <row r="1027" spans="1:16" ht="15.75" customHeight="1" x14ac:dyDescent="0.25">
      <c r="A1027" s="50"/>
      <c r="D1027" s="51"/>
      <c r="E1027" s="51"/>
      <c r="K1027" s="51"/>
      <c r="L1027" s="52"/>
      <c r="P1027" s="41"/>
    </row>
    <row r="1028" spans="1:16" ht="15.75" customHeight="1" x14ac:dyDescent="0.25">
      <c r="A1028" s="50"/>
      <c r="D1028" s="51"/>
      <c r="E1028" s="51"/>
      <c r="K1028" s="51"/>
      <c r="L1028" s="52"/>
      <c r="P1028" s="41"/>
    </row>
    <row r="1029" spans="1:16" ht="15.75" customHeight="1" x14ac:dyDescent="0.25">
      <c r="A1029" s="50"/>
      <c r="D1029" s="51"/>
      <c r="E1029" s="51"/>
      <c r="K1029" s="51"/>
      <c r="L1029" s="52"/>
      <c r="P1029" s="41"/>
    </row>
    <row r="1030" spans="1:16" ht="15.75" customHeight="1" x14ac:dyDescent="0.25">
      <c r="A1030" s="50"/>
      <c r="D1030" s="51"/>
      <c r="E1030" s="51"/>
      <c r="K1030" s="51"/>
      <c r="L1030" s="52"/>
      <c r="P1030" s="41"/>
    </row>
    <row r="1031" spans="1:16" ht="15.75" customHeight="1" x14ac:dyDescent="0.25">
      <c r="A1031" s="50"/>
      <c r="D1031" s="51"/>
      <c r="E1031" s="51"/>
      <c r="K1031" s="51"/>
      <c r="L1031" s="52"/>
      <c r="P1031" s="41"/>
    </row>
    <row r="1032" spans="1:16" ht="15.75" customHeight="1" x14ac:dyDescent="0.25">
      <c r="A1032" s="50"/>
      <c r="D1032" s="51"/>
      <c r="E1032" s="51"/>
      <c r="K1032" s="51"/>
      <c r="L1032" s="52"/>
      <c r="P1032" s="41"/>
    </row>
    <row r="1033" spans="1:16" ht="15.75" customHeight="1" x14ac:dyDescent="0.25">
      <c r="A1033" s="50"/>
      <c r="D1033" s="51"/>
      <c r="E1033" s="51"/>
      <c r="K1033" s="51"/>
      <c r="L1033" s="52"/>
      <c r="P1033" s="41"/>
    </row>
    <row r="1034" spans="1:16" ht="15.75" customHeight="1" x14ac:dyDescent="0.25">
      <c r="A1034" s="50"/>
      <c r="D1034" s="51"/>
      <c r="E1034" s="51"/>
      <c r="K1034" s="51"/>
      <c r="L1034" s="52"/>
      <c r="P1034" s="41"/>
    </row>
    <row r="1035" spans="1:16" ht="15.75" customHeight="1" x14ac:dyDescent="0.25">
      <c r="A1035" s="50"/>
      <c r="D1035" s="51"/>
      <c r="E1035" s="51"/>
      <c r="K1035" s="51"/>
      <c r="L1035" s="52"/>
      <c r="P1035" s="41"/>
    </row>
    <row r="1036" spans="1:16" ht="15.75" customHeight="1" x14ac:dyDescent="0.25">
      <c r="A1036" s="50"/>
      <c r="D1036" s="51"/>
      <c r="E1036" s="51"/>
      <c r="K1036" s="51"/>
      <c r="L1036" s="52"/>
      <c r="P1036" s="41"/>
    </row>
    <row r="1037" spans="1:16" ht="15.75" customHeight="1" x14ac:dyDescent="0.25">
      <c r="A1037" s="50"/>
      <c r="D1037" s="51"/>
      <c r="E1037" s="51"/>
      <c r="K1037" s="51"/>
      <c r="L1037" s="52"/>
      <c r="P1037" s="41"/>
    </row>
    <row r="1038" spans="1:16" ht="15.75" customHeight="1" x14ac:dyDescent="0.25">
      <c r="A1038" s="50"/>
      <c r="D1038" s="51"/>
      <c r="E1038" s="51"/>
      <c r="K1038" s="51"/>
      <c r="L1038" s="52"/>
      <c r="P1038" s="41"/>
    </row>
    <row r="1039" spans="1:16" ht="15.75" customHeight="1" x14ac:dyDescent="0.25">
      <c r="A1039" s="50"/>
      <c r="D1039" s="51"/>
      <c r="E1039" s="51"/>
      <c r="K1039" s="51"/>
      <c r="L1039" s="52"/>
      <c r="P1039" s="41"/>
    </row>
    <row r="1040" spans="1:16" ht="15.75" customHeight="1" x14ac:dyDescent="0.25">
      <c r="A1040" s="50"/>
      <c r="D1040" s="51"/>
      <c r="E1040" s="51"/>
      <c r="K1040" s="51"/>
      <c r="L1040" s="52"/>
      <c r="P1040" s="41"/>
    </row>
    <row r="1041" spans="1:16" ht="15.75" customHeight="1" x14ac:dyDescent="0.25">
      <c r="A1041" s="50"/>
      <c r="D1041" s="51"/>
      <c r="E1041" s="51"/>
      <c r="K1041" s="51"/>
      <c r="L1041" s="52"/>
      <c r="P1041" s="41"/>
    </row>
    <row r="1042" spans="1:16" ht="15.75" customHeight="1" x14ac:dyDescent="0.25">
      <c r="A1042" s="50"/>
      <c r="D1042" s="51"/>
      <c r="E1042" s="51"/>
      <c r="K1042" s="51"/>
      <c r="L1042" s="52"/>
      <c r="P1042" s="41"/>
    </row>
    <row r="1043" spans="1:16" ht="15.75" customHeight="1" x14ac:dyDescent="0.25">
      <c r="A1043" s="50"/>
      <c r="D1043" s="51"/>
      <c r="E1043" s="51"/>
      <c r="K1043" s="51"/>
      <c r="L1043" s="52"/>
      <c r="P1043" s="41"/>
    </row>
    <row r="1044" spans="1:16" ht="15.75" customHeight="1" x14ac:dyDescent="0.25">
      <c r="A1044" s="50"/>
      <c r="D1044" s="51"/>
      <c r="E1044" s="51"/>
      <c r="K1044" s="51"/>
      <c r="L1044" s="52"/>
      <c r="P1044" s="41"/>
    </row>
    <row r="1045" spans="1:16" ht="15.75" customHeight="1" x14ac:dyDescent="0.25">
      <c r="A1045" s="50"/>
      <c r="D1045" s="51"/>
      <c r="E1045" s="51"/>
      <c r="K1045" s="51"/>
      <c r="L1045" s="52"/>
      <c r="P1045" s="41"/>
    </row>
    <row r="1046" spans="1:16" ht="15.75" customHeight="1" x14ac:dyDescent="0.25">
      <c r="A1046" s="50"/>
      <c r="D1046" s="51"/>
      <c r="E1046" s="51"/>
      <c r="K1046" s="51"/>
      <c r="L1046" s="52"/>
      <c r="P1046" s="41"/>
    </row>
    <row r="1047" spans="1:16" ht="15.75" customHeight="1" x14ac:dyDescent="0.25">
      <c r="A1047" s="50"/>
      <c r="D1047" s="51"/>
      <c r="E1047" s="51"/>
      <c r="K1047" s="51"/>
      <c r="L1047" s="52"/>
      <c r="P1047" s="41"/>
    </row>
    <row r="1048" spans="1:16" ht="15.75" customHeight="1" x14ac:dyDescent="0.25">
      <c r="A1048" s="50"/>
      <c r="D1048" s="51"/>
      <c r="E1048" s="51"/>
      <c r="K1048" s="51"/>
      <c r="L1048" s="52"/>
      <c r="P1048" s="41"/>
    </row>
    <row r="1049" spans="1:16" ht="15.75" customHeight="1" x14ac:dyDescent="0.25">
      <c r="A1049" s="50"/>
      <c r="D1049" s="51"/>
      <c r="E1049" s="51"/>
      <c r="K1049" s="51"/>
      <c r="L1049" s="52"/>
      <c r="P1049" s="41"/>
    </row>
    <row r="1050" spans="1:16" ht="15.75" customHeight="1" x14ac:dyDescent="0.25">
      <c r="A1050" s="50"/>
      <c r="D1050" s="51"/>
      <c r="E1050" s="51"/>
      <c r="K1050" s="51"/>
      <c r="L1050" s="52"/>
      <c r="P1050" s="41"/>
    </row>
    <row r="1051" spans="1:16" ht="15.75" customHeight="1" x14ac:dyDescent="0.25">
      <c r="A1051" s="50"/>
      <c r="D1051" s="51"/>
      <c r="E1051" s="51"/>
      <c r="K1051" s="51"/>
      <c r="L1051" s="52"/>
      <c r="P1051" s="41"/>
    </row>
    <row r="1052" spans="1:16" ht="15.75" customHeight="1" x14ac:dyDescent="0.25">
      <c r="A1052" s="50"/>
      <c r="D1052" s="51"/>
      <c r="E1052" s="51"/>
      <c r="K1052" s="51"/>
      <c r="L1052" s="52"/>
      <c r="P1052" s="41"/>
    </row>
    <row r="1053" spans="1:16" ht="15.75" customHeight="1" x14ac:dyDescent="0.25">
      <c r="A1053" s="50"/>
      <c r="D1053" s="51"/>
      <c r="E1053" s="51"/>
      <c r="K1053" s="51"/>
      <c r="L1053" s="52"/>
      <c r="P1053" s="41"/>
    </row>
    <row r="1054" spans="1:16" ht="15.75" customHeight="1" x14ac:dyDescent="0.25">
      <c r="A1054" s="50"/>
      <c r="D1054" s="51"/>
      <c r="E1054" s="51"/>
      <c r="K1054" s="51"/>
      <c r="L1054" s="52"/>
      <c r="P1054" s="41"/>
    </row>
    <row r="1055" spans="1:16" ht="15.75" customHeight="1" x14ac:dyDescent="0.25">
      <c r="A1055" s="50"/>
      <c r="D1055" s="51"/>
      <c r="E1055" s="51"/>
      <c r="K1055" s="51"/>
      <c r="L1055" s="52"/>
      <c r="P1055" s="41"/>
    </row>
    <row r="1056" spans="1:16" ht="15.75" customHeight="1" x14ac:dyDescent="0.25">
      <c r="A1056" s="50"/>
      <c r="D1056" s="51"/>
      <c r="E1056" s="51"/>
      <c r="K1056" s="51"/>
      <c r="L1056" s="52"/>
      <c r="P1056" s="41"/>
    </row>
    <row r="1057" spans="1:16" ht="15.75" customHeight="1" x14ac:dyDescent="0.25">
      <c r="A1057" s="50"/>
      <c r="D1057" s="51"/>
      <c r="E1057" s="51"/>
      <c r="K1057" s="51"/>
      <c r="L1057" s="52"/>
      <c r="P1057" s="41"/>
    </row>
    <row r="1058" spans="1:16" ht="15.75" customHeight="1" x14ac:dyDescent="0.25">
      <c r="A1058" s="50"/>
      <c r="D1058" s="51"/>
      <c r="E1058" s="51"/>
      <c r="K1058" s="51"/>
      <c r="L1058" s="52"/>
      <c r="P1058" s="41"/>
    </row>
    <row r="1059" spans="1:16" ht="15.75" customHeight="1" x14ac:dyDescent="0.25">
      <c r="A1059" s="50"/>
      <c r="D1059" s="51"/>
      <c r="E1059" s="51"/>
      <c r="K1059" s="51"/>
      <c r="L1059" s="52"/>
      <c r="P1059" s="41"/>
    </row>
    <row r="1060" spans="1:16" ht="15.75" customHeight="1" x14ac:dyDescent="0.25">
      <c r="A1060" s="50"/>
      <c r="D1060" s="51"/>
      <c r="E1060" s="51"/>
      <c r="K1060" s="51"/>
      <c r="L1060" s="52"/>
      <c r="P1060" s="41"/>
    </row>
    <row r="1061" spans="1:16" ht="15.75" customHeight="1" x14ac:dyDescent="0.25">
      <c r="A1061" s="50"/>
      <c r="D1061" s="51"/>
      <c r="E1061" s="51"/>
      <c r="K1061" s="51"/>
      <c r="L1061" s="52"/>
      <c r="P1061" s="41"/>
    </row>
    <row r="1062" spans="1:16" ht="15.75" customHeight="1" x14ac:dyDescent="0.25">
      <c r="A1062" s="50"/>
      <c r="D1062" s="51"/>
      <c r="E1062" s="51"/>
      <c r="K1062" s="51"/>
      <c r="L1062" s="52"/>
      <c r="P1062" s="41"/>
    </row>
    <row r="1063" spans="1:16" ht="15.75" customHeight="1" x14ac:dyDescent="0.25">
      <c r="A1063" s="50"/>
      <c r="D1063" s="51"/>
      <c r="E1063" s="51"/>
      <c r="K1063" s="51"/>
      <c r="L1063" s="52"/>
      <c r="P1063" s="41"/>
    </row>
    <row r="1064" spans="1:16" ht="15.75" customHeight="1" x14ac:dyDescent="0.25">
      <c r="A1064" s="50"/>
      <c r="D1064" s="51"/>
      <c r="E1064" s="51"/>
      <c r="K1064" s="51"/>
      <c r="L1064" s="52"/>
      <c r="P1064" s="41"/>
    </row>
    <row r="1065" spans="1:16" ht="15.75" customHeight="1" x14ac:dyDescent="0.25">
      <c r="A1065" s="50"/>
      <c r="D1065" s="51"/>
      <c r="E1065" s="51"/>
      <c r="K1065" s="51"/>
      <c r="L1065" s="52"/>
      <c r="P1065" s="41"/>
    </row>
    <row r="1066" spans="1:16" ht="15.75" customHeight="1" x14ac:dyDescent="0.25">
      <c r="A1066" s="50"/>
      <c r="D1066" s="51"/>
      <c r="E1066" s="51"/>
      <c r="K1066" s="51"/>
      <c r="L1066" s="52"/>
      <c r="P1066" s="41"/>
    </row>
    <row r="1067" spans="1:16" ht="15.75" customHeight="1" x14ac:dyDescent="0.25">
      <c r="A1067" s="50"/>
      <c r="D1067" s="51"/>
      <c r="E1067" s="51"/>
      <c r="K1067" s="51"/>
      <c r="L1067" s="52"/>
      <c r="P1067" s="41"/>
    </row>
    <row r="1068" spans="1:16" ht="15.75" customHeight="1" x14ac:dyDescent="0.25">
      <c r="A1068" s="50"/>
      <c r="D1068" s="51"/>
      <c r="E1068" s="51"/>
      <c r="K1068" s="51"/>
      <c r="L1068" s="52"/>
      <c r="P1068" s="41"/>
    </row>
    <row r="1069" spans="1:16" ht="15.75" customHeight="1" x14ac:dyDescent="0.25">
      <c r="A1069" s="50"/>
      <c r="D1069" s="51"/>
      <c r="E1069" s="51"/>
      <c r="K1069" s="51"/>
      <c r="L1069" s="52"/>
      <c r="P1069" s="41"/>
    </row>
    <row r="1070" spans="1:16" ht="15.75" customHeight="1" x14ac:dyDescent="0.25">
      <c r="A1070" s="50"/>
      <c r="D1070" s="51"/>
      <c r="E1070" s="51"/>
      <c r="K1070" s="51"/>
      <c r="L1070" s="52"/>
      <c r="P1070" s="41"/>
    </row>
    <row r="1071" spans="1:16" ht="15.75" customHeight="1" x14ac:dyDescent="0.25">
      <c r="A1071" s="50"/>
      <c r="D1071" s="51"/>
      <c r="E1071" s="51"/>
      <c r="K1071" s="51"/>
      <c r="L1071" s="52"/>
      <c r="P1071" s="41"/>
    </row>
    <row r="1072" spans="1:16" ht="15.75" customHeight="1" x14ac:dyDescent="0.25">
      <c r="A1072" s="50"/>
      <c r="D1072" s="51"/>
      <c r="E1072" s="51"/>
      <c r="K1072" s="51"/>
      <c r="L1072" s="52"/>
      <c r="P1072" s="41"/>
    </row>
    <row r="1073" spans="1:16" ht="15.75" customHeight="1" x14ac:dyDescent="0.25">
      <c r="A1073" s="50"/>
      <c r="D1073" s="51"/>
      <c r="E1073" s="51"/>
      <c r="K1073" s="51"/>
      <c r="L1073" s="52"/>
      <c r="P1073" s="41"/>
    </row>
    <row r="1074" spans="1:16" ht="15.75" customHeight="1" x14ac:dyDescent="0.25">
      <c r="A1074" s="50"/>
      <c r="D1074" s="51"/>
      <c r="E1074" s="51"/>
      <c r="K1074" s="51"/>
      <c r="L1074" s="52"/>
      <c r="P1074" s="41"/>
    </row>
    <row r="1075" spans="1:16" ht="15.75" customHeight="1" x14ac:dyDescent="0.25">
      <c r="A1075" s="50"/>
      <c r="D1075" s="51"/>
      <c r="E1075" s="51"/>
      <c r="K1075" s="51"/>
      <c r="L1075" s="52"/>
      <c r="P1075" s="41"/>
    </row>
    <row r="1076" spans="1:16" ht="15.75" customHeight="1" x14ac:dyDescent="0.25">
      <c r="A1076" s="50"/>
      <c r="D1076" s="51"/>
      <c r="E1076" s="51"/>
      <c r="K1076" s="51"/>
      <c r="L1076" s="52"/>
      <c r="P1076" s="41"/>
    </row>
    <row r="1077" spans="1:16" ht="15.75" customHeight="1" x14ac:dyDescent="0.25">
      <c r="A1077" s="50"/>
      <c r="D1077" s="51"/>
      <c r="E1077" s="51"/>
      <c r="K1077" s="51"/>
      <c r="L1077" s="52"/>
      <c r="P1077" s="41"/>
    </row>
    <row r="1078" spans="1:16" ht="15.75" customHeight="1" x14ac:dyDescent="0.25">
      <c r="A1078" s="50"/>
      <c r="D1078" s="51"/>
      <c r="E1078" s="51"/>
      <c r="K1078" s="51"/>
      <c r="L1078" s="52"/>
      <c r="P1078" s="41"/>
    </row>
    <row r="1079" spans="1:16" ht="15.75" customHeight="1" x14ac:dyDescent="0.25">
      <c r="A1079" s="50"/>
      <c r="D1079" s="51"/>
      <c r="E1079" s="51"/>
      <c r="K1079" s="51"/>
      <c r="L1079" s="52"/>
      <c r="P1079" s="41"/>
    </row>
    <row r="1080" spans="1:16" ht="15.75" customHeight="1" x14ac:dyDescent="0.25">
      <c r="A1080" s="50"/>
      <c r="D1080" s="51"/>
      <c r="E1080" s="51"/>
      <c r="K1080" s="51"/>
      <c r="L1080" s="52"/>
      <c r="P1080" s="41"/>
    </row>
    <row r="1081" spans="1:16" ht="15.75" customHeight="1" x14ac:dyDescent="0.25">
      <c r="A1081" s="50"/>
      <c r="D1081" s="51"/>
      <c r="E1081" s="51"/>
      <c r="K1081" s="51"/>
      <c r="L1081" s="52"/>
      <c r="P1081" s="41"/>
    </row>
    <row r="1082" spans="1:16" ht="15.75" customHeight="1" x14ac:dyDescent="0.25">
      <c r="A1082" s="50"/>
      <c r="D1082" s="51"/>
      <c r="E1082" s="51"/>
      <c r="K1082" s="51"/>
      <c r="L1082" s="52"/>
      <c r="P1082" s="41"/>
    </row>
    <row r="1083" spans="1:16" ht="15.75" customHeight="1" x14ac:dyDescent="0.25">
      <c r="A1083" s="50"/>
      <c r="D1083" s="51"/>
      <c r="E1083" s="51"/>
      <c r="K1083" s="51"/>
      <c r="L1083" s="52"/>
      <c r="P1083" s="41"/>
    </row>
    <row r="1084" spans="1:16" ht="15.75" customHeight="1" x14ac:dyDescent="0.25">
      <c r="A1084" s="50"/>
      <c r="D1084" s="51"/>
      <c r="E1084" s="51"/>
      <c r="K1084" s="51"/>
      <c r="L1084" s="52"/>
      <c r="P1084" s="41"/>
    </row>
    <row r="1085" spans="1:16" ht="15.75" customHeight="1" x14ac:dyDescent="0.25">
      <c r="A1085" s="50"/>
      <c r="D1085" s="51"/>
      <c r="E1085" s="51"/>
      <c r="K1085" s="51"/>
      <c r="L1085" s="52"/>
      <c r="P1085" s="41"/>
    </row>
    <row r="1086" spans="1:16" ht="15.75" customHeight="1" x14ac:dyDescent="0.25">
      <c r="A1086" s="50"/>
      <c r="D1086" s="51"/>
      <c r="E1086" s="51"/>
      <c r="K1086" s="51"/>
      <c r="L1086" s="52"/>
      <c r="P1086" s="41"/>
    </row>
    <row r="1087" spans="1:16" ht="15.75" customHeight="1" x14ac:dyDescent="0.25">
      <c r="A1087" s="50"/>
      <c r="D1087" s="51"/>
      <c r="E1087" s="51"/>
      <c r="K1087" s="51"/>
      <c r="L1087" s="52"/>
      <c r="P1087" s="41"/>
    </row>
    <row r="1088" spans="1:16" ht="15.75" customHeight="1" x14ac:dyDescent="0.25">
      <c r="A1088" s="50"/>
      <c r="D1088" s="51"/>
      <c r="E1088" s="51"/>
      <c r="K1088" s="51"/>
      <c r="L1088" s="52"/>
      <c r="P1088" s="41"/>
    </row>
    <row r="1089" spans="1:16" ht="15.75" customHeight="1" x14ac:dyDescent="0.25">
      <c r="A1089" s="50"/>
      <c r="D1089" s="51"/>
      <c r="E1089" s="51"/>
      <c r="K1089" s="51"/>
      <c r="L1089" s="52"/>
      <c r="P1089" s="41"/>
    </row>
    <row r="1090" spans="1:16" ht="15.75" customHeight="1" x14ac:dyDescent="0.25">
      <c r="A1090" s="50"/>
      <c r="D1090" s="51"/>
      <c r="E1090" s="51"/>
      <c r="K1090" s="51"/>
      <c r="L1090" s="52"/>
      <c r="P1090" s="41"/>
    </row>
    <row r="1091" spans="1:16" ht="15.75" customHeight="1" x14ac:dyDescent="0.25">
      <c r="A1091" s="50"/>
      <c r="D1091" s="51"/>
      <c r="E1091" s="51"/>
      <c r="K1091" s="51"/>
      <c r="L1091" s="52"/>
      <c r="P1091" s="41"/>
    </row>
    <row r="1092" spans="1:16" ht="15.75" customHeight="1" x14ac:dyDescent="0.25">
      <c r="A1092" s="50"/>
      <c r="D1092" s="51"/>
      <c r="E1092" s="51"/>
      <c r="K1092" s="51"/>
      <c r="L1092" s="52"/>
      <c r="P1092" s="41"/>
    </row>
    <row r="1093" spans="1:16" ht="15.75" customHeight="1" x14ac:dyDescent="0.25">
      <c r="A1093" s="50"/>
      <c r="D1093" s="51"/>
      <c r="E1093" s="51"/>
      <c r="K1093" s="51"/>
      <c r="L1093" s="52"/>
      <c r="P1093" s="41"/>
    </row>
    <row r="1094" spans="1:16" ht="15.75" customHeight="1" x14ac:dyDescent="0.25">
      <c r="A1094" s="50"/>
      <c r="D1094" s="51"/>
      <c r="E1094" s="51"/>
      <c r="K1094" s="51"/>
      <c r="L1094" s="52"/>
      <c r="P1094" s="41"/>
    </row>
    <row r="1095" spans="1:16" ht="15.75" customHeight="1" x14ac:dyDescent="0.25">
      <c r="A1095" s="50"/>
      <c r="D1095" s="51"/>
      <c r="E1095" s="51"/>
      <c r="K1095" s="51"/>
      <c r="L1095" s="52"/>
      <c r="P1095" s="41"/>
    </row>
    <row r="1096" spans="1:16" ht="15.75" customHeight="1" x14ac:dyDescent="0.25">
      <c r="A1096" s="50"/>
      <c r="D1096" s="51"/>
      <c r="E1096" s="51"/>
      <c r="K1096" s="51"/>
      <c r="L1096" s="52"/>
      <c r="P1096" s="41"/>
    </row>
    <row r="1097" spans="1:16" ht="15.75" customHeight="1" x14ac:dyDescent="0.25">
      <c r="A1097" s="50"/>
      <c r="D1097" s="51"/>
      <c r="E1097" s="51"/>
      <c r="K1097" s="51"/>
      <c r="L1097" s="52"/>
      <c r="P1097" s="41"/>
    </row>
    <row r="1098" spans="1:16" ht="15.75" customHeight="1" x14ac:dyDescent="0.25">
      <c r="A1098" s="50"/>
      <c r="D1098" s="51"/>
      <c r="E1098" s="51"/>
      <c r="K1098" s="51"/>
      <c r="L1098" s="52"/>
      <c r="P1098" s="41"/>
    </row>
    <row r="1099" spans="1:16" ht="15.75" customHeight="1" x14ac:dyDescent="0.25">
      <c r="A1099" s="50"/>
      <c r="D1099" s="51"/>
      <c r="E1099" s="51"/>
      <c r="K1099" s="51"/>
      <c r="L1099" s="52"/>
      <c r="P1099" s="41"/>
    </row>
    <row r="1100" spans="1:16" ht="15.75" customHeight="1" x14ac:dyDescent="0.25">
      <c r="A1100" s="50"/>
      <c r="D1100" s="51"/>
      <c r="E1100" s="51"/>
      <c r="K1100" s="51"/>
      <c r="L1100" s="52"/>
      <c r="P1100" s="41"/>
    </row>
    <row r="1101" spans="1:16" ht="15.75" customHeight="1" x14ac:dyDescent="0.25">
      <c r="A1101" s="50"/>
      <c r="D1101" s="51"/>
      <c r="E1101" s="51"/>
      <c r="K1101" s="51"/>
      <c r="L1101" s="52"/>
      <c r="P1101" s="41"/>
    </row>
    <row r="1102" spans="1:16" ht="15.75" customHeight="1" x14ac:dyDescent="0.25">
      <c r="A1102" s="50"/>
      <c r="D1102" s="51"/>
      <c r="E1102" s="51"/>
      <c r="K1102" s="51"/>
      <c r="L1102" s="52"/>
      <c r="P1102" s="41"/>
    </row>
    <row r="1103" spans="1:16" ht="15.75" customHeight="1" x14ac:dyDescent="0.25">
      <c r="A1103" s="50"/>
      <c r="D1103" s="51"/>
      <c r="E1103" s="51"/>
      <c r="K1103" s="51"/>
      <c r="L1103" s="52"/>
      <c r="P1103" s="41"/>
    </row>
    <row r="1104" spans="1:16" ht="15.75" customHeight="1" x14ac:dyDescent="0.25">
      <c r="A1104" s="50"/>
      <c r="D1104" s="51"/>
      <c r="E1104" s="51"/>
      <c r="K1104" s="51"/>
      <c r="L1104" s="52"/>
      <c r="P1104" s="41"/>
    </row>
    <row r="1105" spans="1:16" ht="15.75" customHeight="1" x14ac:dyDescent="0.25">
      <c r="A1105" s="50"/>
      <c r="D1105" s="51"/>
      <c r="E1105" s="51"/>
      <c r="K1105" s="51"/>
      <c r="L1105" s="52"/>
      <c r="P1105" s="41"/>
    </row>
    <row r="1106" spans="1:16" ht="15.75" customHeight="1" x14ac:dyDescent="0.25">
      <c r="A1106" s="50"/>
      <c r="D1106" s="51"/>
      <c r="E1106" s="51"/>
      <c r="K1106" s="51"/>
      <c r="L1106" s="52"/>
      <c r="P1106" s="41"/>
    </row>
    <row r="1107" spans="1:16" ht="15.75" customHeight="1" x14ac:dyDescent="0.25">
      <c r="A1107" s="50"/>
      <c r="D1107" s="51"/>
      <c r="E1107" s="51"/>
      <c r="K1107" s="51"/>
      <c r="L1107" s="52"/>
      <c r="P1107" s="41"/>
    </row>
    <row r="1108" spans="1:16" ht="15.75" customHeight="1" x14ac:dyDescent="0.25">
      <c r="A1108" s="50"/>
      <c r="D1108" s="51"/>
      <c r="E1108" s="51"/>
      <c r="K1108" s="51"/>
      <c r="L1108" s="52"/>
      <c r="P1108" s="41"/>
    </row>
    <row r="1109" spans="1:16" ht="15.75" customHeight="1" x14ac:dyDescent="0.25">
      <c r="A1109" s="50"/>
      <c r="D1109" s="51"/>
      <c r="E1109" s="51"/>
      <c r="K1109" s="51"/>
      <c r="L1109" s="52"/>
      <c r="P1109" s="41"/>
    </row>
    <row r="1110" spans="1:16" ht="15.75" customHeight="1" x14ac:dyDescent="0.25">
      <c r="A1110" s="50"/>
      <c r="D1110" s="51"/>
      <c r="E1110" s="51"/>
      <c r="K1110" s="51"/>
      <c r="L1110" s="52"/>
      <c r="P1110" s="41"/>
    </row>
    <row r="1111" spans="1:16" ht="15.75" customHeight="1" x14ac:dyDescent="0.25">
      <c r="A1111" s="50"/>
      <c r="D1111" s="51"/>
      <c r="E1111" s="51"/>
      <c r="K1111" s="51"/>
      <c r="L1111" s="52"/>
      <c r="P1111" s="41"/>
    </row>
    <row r="1112" spans="1:16" ht="15.75" customHeight="1" x14ac:dyDescent="0.25">
      <c r="A1112" s="50"/>
      <c r="D1112" s="51"/>
      <c r="E1112" s="51"/>
      <c r="K1112" s="51"/>
      <c r="L1112" s="52"/>
      <c r="P1112" s="41"/>
    </row>
    <row r="1113" spans="1:16" ht="15.75" customHeight="1" x14ac:dyDescent="0.25">
      <c r="A1113" s="50"/>
      <c r="D1113" s="51"/>
      <c r="E1113" s="51"/>
      <c r="K1113" s="51"/>
      <c r="L1113" s="52"/>
      <c r="P1113" s="41"/>
    </row>
    <row r="1114" spans="1:16" ht="15.75" customHeight="1" x14ac:dyDescent="0.25">
      <c r="A1114" s="50"/>
      <c r="D1114" s="51"/>
      <c r="E1114" s="51"/>
      <c r="K1114" s="51"/>
      <c r="L1114" s="52"/>
      <c r="P1114" s="41"/>
    </row>
    <row r="1115" spans="1:16" ht="15.75" customHeight="1" x14ac:dyDescent="0.25">
      <c r="A1115" s="50"/>
      <c r="D1115" s="51"/>
      <c r="E1115" s="51"/>
      <c r="K1115" s="51"/>
      <c r="L1115" s="52"/>
      <c r="P1115" s="41"/>
    </row>
    <row r="1116" spans="1:16" ht="15.75" customHeight="1" x14ac:dyDescent="0.25">
      <c r="A1116" s="50"/>
      <c r="D1116" s="51"/>
      <c r="E1116" s="51"/>
      <c r="K1116" s="51"/>
      <c r="L1116" s="52"/>
      <c r="P1116" s="41"/>
    </row>
    <row r="1117" spans="1:16" ht="15.75" customHeight="1" x14ac:dyDescent="0.25">
      <c r="A1117" s="50"/>
      <c r="D1117" s="51"/>
      <c r="E1117" s="51"/>
      <c r="K1117" s="51"/>
      <c r="L1117" s="52"/>
      <c r="P1117" s="41"/>
    </row>
    <row r="1118" spans="1:16" ht="15.75" customHeight="1" x14ac:dyDescent="0.25">
      <c r="A1118" s="50"/>
      <c r="D1118" s="51"/>
      <c r="E1118" s="51"/>
      <c r="K1118" s="51"/>
      <c r="L1118" s="52"/>
      <c r="P1118" s="41"/>
    </row>
    <row r="1119" spans="1:16" ht="15.75" customHeight="1" x14ac:dyDescent="0.25">
      <c r="A1119" s="50"/>
      <c r="D1119" s="51"/>
      <c r="E1119" s="51"/>
      <c r="K1119" s="51"/>
      <c r="L1119" s="52"/>
      <c r="P1119" s="41"/>
    </row>
    <row r="1120" spans="1:16" ht="15.75" customHeight="1" x14ac:dyDescent="0.25">
      <c r="A1120" s="50"/>
      <c r="D1120" s="51"/>
      <c r="E1120" s="51"/>
      <c r="K1120" s="51"/>
      <c r="L1120" s="52"/>
      <c r="P1120" s="41"/>
    </row>
    <row r="1121" spans="1:16" ht="15.75" customHeight="1" x14ac:dyDescent="0.25">
      <c r="A1121" s="50"/>
      <c r="D1121" s="51"/>
      <c r="E1121" s="51"/>
      <c r="K1121" s="51"/>
      <c r="L1121" s="52"/>
      <c r="P1121" s="41"/>
    </row>
  </sheetData>
  <autoFilter ref="A1:AG254" xr:uid="{00000000-0009-0000-0000-000000000000}"/>
  <dataValidations count="2">
    <dataValidation type="decimal" allowBlank="1" showErrorMessage="1" sqref="K2:K8 K11:K24 K38:L38 K42:L43 K63:L63 K69:L73 K79 K81 K94:L197" xr:uid="{00000000-0002-0000-0000-000000000000}">
      <formula1>0</formula1>
      <formula2>1E+21</formula2>
    </dataValidation>
    <dataValidation type="custom" allowBlank="1" showErrorMessage="1" sqref="M2:M6 L21:L24 M43 M70:M73 L79 L81 M94:M95 M99:M197" xr:uid="{00000000-0002-0000-0000-000001000000}">
      <formula1>lt(LEN(#REF!),(450))</formula1>
      <formula2>0</formula2>
    </dataValidation>
  </dataValidations>
  <hyperlinks>
    <hyperlink ref="N2" r:id="rId1" xr:uid="{00000000-0004-0000-0000-000000000000}"/>
    <hyperlink ref="O2" r:id="rId2" xr:uid="{00000000-0004-0000-0000-000001000000}"/>
    <hyperlink ref="N4" r:id="rId3" xr:uid="{00000000-0004-0000-0000-000002000000}"/>
    <hyperlink ref="N5" r:id="rId4" xr:uid="{00000000-0004-0000-0000-000003000000}"/>
    <hyperlink ref="O5" r:id="rId5" xr:uid="{00000000-0004-0000-0000-000004000000}"/>
    <hyperlink ref="N6" r:id="rId6" xr:uid="{00000000-0004-0000-0000-000005000000}"/>
    <hyperlink ref="N7" r:id="rId7" xr:uid="{00000000-0004-0000-0000-000006000000}"/>
    <hyperlink ref="N8" r:id="rId8" xr:uid="{00000000-0004-0000-0000-000007000000}"/>
    <hyperlink ref="N9" r:id="rId9" xr:uid="{00000000-0004-0000-0000-000008000000}"/>
    <hyperlink ref="N10" r:id="rId10" xr:uid="{00000000-0004-0000-0000-000009000000}"/>
    <hyperlink ref="N11" r:id="rId11" xr:uid="{00000000-0004-0000-0000-00000A000000}"/>
    <hyperlink ref="N12" r:id="rId12" xr:uid="{00000000-0004-0000-0000-00000B000000}"/>
    <hyperlink ref="N13" r:id="rId13" xr:uid="{00000000-0004-0000-0000-00000C000000}"/>
    <hyperlink ref="N14" r:id="rId14" xr:uid="{00000000-0004-0000-0000-00000D000000}"/>
    <hyperlink ref="N15" r:id="rId15" xr:uid="{00000000-0004-0000-0000-00000E000000}"/>
    <hyperlink ref="N16" r:id="rId16" xr:uid="{00000000-0004-0000-0000-00000F000000}"/>
    <hyperlink ref="N17" r:id="rId17" xr:uid="{00000000-0004-0000-0000-000010000000}"/>
    <hyperlink ref="N18" r:id="rId18" xr:uid="{00000000-0004-0000-0000-000011000000}"/>
    <hyperlink ref="N19" r:id="rId19" xr:uid="{00000000-0004-0000-0000-000012000000}"/>
    <hyperlink ref="O19" r:id="rId20" xr:uid="{00000000-0004-0000-0000-000013000000}"/>
    <hyperlink ref="N20" r:id="rId21" xr:uid="{00000000-0004-0000-0000-000014000000}"/>
    <hyperlink ref="O20" r:id="rId22" xr:uid="{00000000-0004-0000-0000-000015000000}"/>
    <hyperlink ref="N21" r:id="rId23" xr:uid="{00000000-0004-0000-0000-000016000000}"/>
    <hyperlink ref="N22" r:id="rId24" xr:uid="{00000000-0004-0000-0000-000017000000}"/>
    <hyperlink ref="N23" r:id="rId25" xr:uid="{00000000-0004-0000-0000-000018000000}"/>
    <hyperlink ref="N24" r:id="rId26" xr:uid="{00000000-0004-0000-0000-000019000000}"/>
    <hyperlink ref="N25" r:id="rId27" xr:uid="{00000000-0004-0000-0000-00001A000000}"/>
    <hyperlink ref="N26" r:id="rId28" xr:uid="{00000000-0004-0000-0000-00001B000000}"/>
    <hyperlink ref="N27" r:id="rId29" xr:uid="{00000000-0004-0000-0000-00001C000000}"/>
    <hyperlink ref="N28" r:id="rId30" xr:uid="{00000000-0004-0000-0000-00001D000000}"/>
    <hyperlink ref="N29" r:id="rId31" xr:uid="{00000000-0004-0000-0000-00001E000000}"/>
    <hyperlink ref="N30" r:id="rId32" xr:uid="{00000000-0004-0000-0000-00001F000000}"/>
    <hyperlink ref="N31" r:id="rId33" xr:uid="{00000000-0004-0000-0000-000020000000}"/>
    <hyperlink ref="N32" r:id="rId34" xr:uid="{00000000-0004-0000-0000-000021000000}"/>
    <hyperlink ref="N33" r:id="rId35" xr:uid="{00000000-0004-0000-0000-000022000000}"/>
    <hyperlink ref="N34" r:id="rId36" xr:uid="{00000000-0004-0000-0000-000023000000}"/>
    <hyperlink ref="N35" r:id="rId37" xr:uid="{00000000-0004-0000-0000-000024000000}"/>
    <hyperlink ref="N36" r:id="rId38" xr:uid="{00000000-0004-0000-0000-000025000000}"/>
    <hyperlink ref="N37" r:id="rId39" xr:uid="{00000000-0004-0000-0000-000026000000}"/>
    <hyperlink ref="N38" r:id="rId40" xr:uid="{00000000-0004-0000-0000-000027000000}"/>
    <hyperlink ref="N39" r:id="rId41" xr:uid="{00000000-0004-0000-0000-000028000000}"/>
    <hyperlink ref="N40" r:id="rId42" xr:uid="{00000000-0004-0000-0000-000029000000}"/>
    <hyperlink ref="N41" r:id="rId43" xr:uid="{00000000-0004-0000-0000-00002A000000}"/>
    <hyperlink ref="N42" r:id="rId44" xr:uid="{00000000-0004-0000-0000-00002B000000}"/>
    <hyperlink ref="O42" r:id="rId45" xr:uid="{00000000-0004-0000-0000-00002C000000}"/>
    <hyperlink ref="N43" r:id="rId46" xr:uid="{00000000-0004-0000-0000-00002D000000}"/>
    <hyperlink ref="N44" r:id="rId47" xr:uid="{00000000-0004-0000-0000-00002E000000}"/>
    <hyperlink ref="N45" r:id="rId48" xr:uid="{00000000-0004-0000-0000-00002F000000}"/>
    <hyperlink ref="N46" r:id="rId49" xr:uid="{00000000-0004-0000-0000-000030000000}"/>
    <hyperlink ref="N47" r:id="rId50" xr:uid="{00000000-0004-0000-0000-000031000000}"/>
    <hyperlink ref="N48" r:id="rId51" xr:uid="{00000000-0004-0000-0000-000032000000}"/>
    <hyperlink ref="N49" r:id="rId52" xr:uid="{00000000-0004-0000-0000-000033000000}"/>
    <hyperlink ref="N50" r:id="rId53" xr:uid="{00000000-0004-0000-0000-000034000000}"/>
    <hyperlink ref="N51" r:id="rId54" xr:uid="{00000000-0004-0000-0000-000035000000}"/>
    <hyperlink ref="N52" r:id="rId55" xr:uid="{00000000-0004-0000-0000-000036000000}"/>
    <hyperlink ref="N53" r:id="rId56" xr:uid="{00000000-0004-0000-0000-000037000000}"/>
    <hyperlink ref="N54" r:id="rId57" xr:uid="{00000000-0004-0000-0000-000038000000}"/>
    <hyperlink ref="N55" r:id="rId58" xr:uid="{00000000-0004-0000-0000-000039000000}"/>
    <hyperlink ref="N56" r:id="rId59" xr:uid="{00000000-0004-0000-0000-00003A000000}"/>
    <hyperlink ref="N57" r:id="rId60" xr:uid="{00000000-0004-0000-0000-00003B000000}"/>
    <hyperlink ref="N58" r:id="rId61" xr:uid="{00000000-0004-0000-0000-00003C000000}"/>
    <hyperlink ref="N59" r:id="rId62" xr:uid="{00000000-0004-0000-0000-00003D000000}"/>
    <hyperlink ref="N60" r:id="rId63" xr:uid="{00000000-0004-0000-0000-00003E000000}"/>
    <hyperlink ref="N61" r:id="rId64" xr:uid="{00000000-0004-0000-0000-00003F000000}"/>
    <hyperlink ref="N62" r:id="rId65" xr:uid="{00000000-0004-0000-0000-000040000000}"/>
    <hyperlink ref="N63" r:id="rId66" xr:uid="{00000000-0004-0000-0000-000041000000}"/>
    <hyperlink ref="N64" r:id="rId67" xr:uid="{00000000-0004-0000-0000-000042000000}"/>
    <hyperlink ref="N65" r:id="rId68" xr:uid="{00000000-0004-0000-0000-000043000000}"/>
    <hyperlink ref="N66" r:id="rId69" xr:uid="{00000000-0004-0000-0000-000044000000}"/>
    <hyperlink ref="N67" r:id="rId70" xr:uid="{00000000-0004-0000-0000-000045000000}"/>
    <hyperlink ref="N68" r:id="rId71" xr:uid="{00000000-0004-0000-0000-000046000000}"/>
    <hyperlink ref="O69" r:id="rId72" xr:uid="{00000000-0004-0000-0000-000047000000}"/>
    <hyperlink ref="O70" r:id="rId73" xr:uid="{00000000-0004-0000-0000-000048000000}"/>
    <hyperlink ref="O71" r:id="rId74" xr:uid="{00000000-0004-0000-0000-000049000000}"/>
    <hyperlink ref="O72" r:id="rId75" xr:uid="{00000000-0004-0000-0000-00004A000000}"/>
    <hyperlink ref="O73" r:id="rId76" xr:uid="{00000000-0004-0000-0000-00004B000000}"/>
    <hyperlink ref="N74" r:id="rId77" xr:uid="{00000000-0004-0000-0000-00004C000000}"/>
    <hyperlink ref="N75" r:id="rId78" xr:uid="{00000000-0004-0000-0000-00004D000000}"/>
    <hyperlink ref="N76" r:id="rId79" xr:uid="{00000000-0004-0000-0000-00004E000000}"/>
    <hyperlink ref="N77" r:id="rId80" xr:uid="{00000000-0004-0000-0000-00004F000000}"/>
    <hyperlink ref="N78" r:id="rId81" xr:uid="{00000000-0004-0000-0000-000050000000}"/>
    <hyperlink ref="N79" r:id="rId82" xr:uid="{00000000-0004-0000-0000-000051000000}"/>
    <hyperlink ref="N80" r:id="rId83" xr:uid="{00000000-0004-0000-0000-000052000000}"/>
    <hyperlink ref="N81" r:id="rId84" xr:uid="{00000000-0004-0000-0000-000053000000}"/>
    <hyperlink ref="N82" r:id="rId85" xr:uid="{00000000-0004-0000-0000-000054000000}"/>
    <hyperlink ref="N83" r:id="rId86" xr:uid="{00000000-0004-0000-0000-000055000000}"/>
    <hyperlink ref="N84" r:id="rId87" xr:uid="{00000000-0004-0000-0000-000056000000}"/>
    <hyperlink ref="N85" r:id="rId88" xr:uid="{00000000-0004-0000-0000-000057000000}"/>
    <hyperlink ref="N86" r:id="rId89" xr:uid="{00000000-0004-0000-0000-000058000000}"/>
    <hyperlink ref="N87" r:id="rId90" xr:uid="{00000000-0004-0000-0000-000059000000}"/>
    <hyperlink ref="N88" r:id="rId91" xr:uid="{00000000-0004-0000-0000-00005A000000}"/>
    <hyperlink ref="N89" r:id="rId92" xr:uid="{00000000-0004-0000-0000-00005B000000}"/>
    <hyperlink ref="N90" r:id="rId93" xr:uid="{00000000-0004-0000-0000-00005C000000}"/>
    <hyperlink ref="N91" r:id="rId94" xr:uid="{00000000-0004-0000-0000-00005D000000}"/>
    <hyperlink ref="N92" r:id="rId95" xr:uid="{00000000-0004-0000-0000-00005E000000}"/>
    <hyperlink ref="N93" r:id="rId96" xr:uid="{00000000-0004-0000-0000-00005F000000}"/>
  </hyperlinks>
  <pageMargins left="0.70833333333333304" right="0.70833333333333304" top="1.1812499999999999" bottom="1.1812499999999999" header="0.511811023622047" footer="0"/>
  <pageSetup fitToHeight="0" orientation="landscape" horizontalDpi="300" verticalDpi="300"/>
  <headerFooter>
    <oddFooter>&amp;LF-DE-012 V3&amp;R 15/07/2024</oddFooter>
  </headerFooter>
  <legacyDrawing r:id="rId9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V1000"/>
  <sheetViews>
    <sheetView zoomScaleNormal="100" workbookViewId="0"/>
  </sheetViews>
  <sheetFormatPr baseColWidth="10" defaultColWidth="14.42578125" defaultRowHeight="15" x14ac:dyDescent="0.25"/>
  <cols>
    <col min="1" max="1" width="15.5703125" style="1" customWidth="1"/>
    <col min="2" max="2" width="31.5703125" style="1" customWidth="1"/>
    <col min="3" max="3" width="12.5703125" style="1" customWidth="1"/>
    <col min="4" max="4" width="45.5703125" style="1" customWidth="1"/>
    <col min="5" max="5" width="11.5703125" style="1" customWidth="1"/>
    <col min="6" max="6" width="45.5703125" style="1" customWidth="1"/>
    <col min="7" max="7" width="11.5703125" style="1" customWidth="1"/>
    <col min="8" max="8" width="32.5703125" style="1" customWidth="1"/>
    <col min="9" max="9" width="26.42578125" style="1" customWidth="1"/>
    <col min="10" max="10" width="59.5703125" style="1" customWidth="1"/>
    <col min="11" max="22" width="11.5703125" style="1" customWidth="1"/>
  </cols>
  <sheetData>
    <row r="4" spans="2:10" x14ac:dyDescent="0.25">
      <c r="B4" s="53" t="s">
        <v>683</v>
      </c>
      <c r="D4" s="53" t="s">
        <v>684</v>
      </c>
      <c r="F4" s="53" t="s">
        <v>685</v>
      </c>
      <c r="H4" s="53" t="s">
        <v>686</v>
      </c>
      <c r="J4" s="53" t="s">
        <v>687</v>
      </c>
    </row>
    <row r="5" spans="2:10" x14ac:dyDescent="0.25">
      <c r="B5" s="54" t="s">
        <v>688</v>
      </c>
      <c r="D5" s="54" t="s">
        <v>689</v>
      </c>
      <c r="F5" s="54" t="s">
        <v>690</v>
      </c>
      <c r="H5" s="54" t="s">
        <v>691</v>
      </c>
      <c r="J5" s="55"/>
    </row>
    <row r="6" spans="2:10" x14ac:dyDescent="0.25">
      <c r="D6" s="54" t="s">
        <v>692</v>
      </c>
      <c r="F6" s="54" t="s">
        <v>691</v>
      </c>
      <c r="H6" s="54" t="s">
        <v>693</v>
      </c>
      <c r="J6" s="54" t="s">
        <v>694</v>
      </c>
    </row>
    <row r="7" spans="2:10" x14ac:dyDescent="0.25">
      <c r="D7" s="54" t="s">
        <v>695</v>
      </c>
      <c r="F7" s="54" t="s">
        <v>696</v>
      </c>
      <c r="H7" s="54" t="s">
        <v>697</v>
      </c>
      <c r="J7" s="54" t="s">
        <v>698</v>
      </c>
    </row>
    <row r="8" spans="2:10" x14ac:dyDescent="0.25">
      <c r="D8" s="54" t="s">
        <v>699</v>
      </c>
      <c r="F8" s="54" t="s">
        <v>700</v>
      </c>
      <c r="H8" s="54" t="s">
        <v>701</v>
      </c>
      <c r="J8" s="54" t="s">
        <v>702</v>
      </c>
    </row>
    <row r="9" spans="2:10" x14ac:dyDescent="0.25">
      <c r="F9" s="54" t="s">
        <v>703</v>
      </c>
      <c r="H9" s="54" t="s">
        <v>704</v>
      </c>
      <c r="J9" s="54" t="s">
        <v>705</v>
      </c>
    </row>
    <row r="10" spans="2:10" x14ac:dyDescent="0.25">
      <c r="B10" s="53" t="s">
        <v>706</v>
      </c>
      <c r="F10" s="54" t="s">
        <v>707</v>
      </c>
      <c r="J10" s="54" t="s">
        <v>708</v>
      </c>
    </row>
    <row r="11" spans="2:10" x14ac:dyDescent="0.25">
      <c r="B11" s="54" t="s">
        <v>709</v>
      </c>
      <c r="D11" s="53" t="s">
        <v>710</v>
      </c>
      <c r="F11" s="54" t="s">
        <v>711</v>
      </c>
      <c r="H11" s="56"/>
      <c r="J11" s="54" t="s">
        <v>712</v>
      </c>
    </row>
    <row r="12" spans="2:10" x14ac:dyDescent="0.25">
      <c r="B12" s="54" t="s">
        <v>713</v>
      </c>
      <c r="D12" s="57" t="s">
        <v>714</v>
      </c>
      <c r="F12" s="54" t="s">
        <v>715</v>
      </c>
      <c r="H12" s="53"/>
      <c r="J12" s="54" t="s">
        <v>716</v>
      </c>
    </row>
    <row r="13" spans="2:10" x14ac:dyDescent="0.25">
      <c r="B13" s="54" t="s">
        <v>717</v>
      </c>
      <c r="D13" s="58" t="s">
        <v>718</v>
      </c>
      <c r="F13" s="54" t="s">
        <v>699</v>
      </c>
      <c r="H13" s="54"/>
      <c r="J13" s="54" t="s">
        <v>719</v>
      </c>
    </row>
    <row r="14" spans="2:10" x14ac:dyDescent="0.25">
      <c r="D14" s="58" t="s">
        <v>720</v>
      </c>
      <c r="F14" s="56"/>
      <c r="J14" s="54" t="s">
        <v>721</v>
      </c>
    </row>
    <row r="15" spans="2:10" x14ac:dyDescent="0.25">
      <c r="B15" s="56"/>
      <c r="D15" s="58" t="s">
        <v>722</v>
      </c>
      <c r="F15" s="53"/>
      <c r="H15" s="56"/>
      <c r="J15" s="54" t="s">
        <v>723</v>
      </c>
    </row>
    <row r="16" spans="2:10" x14ac:dyDescent="0.25">
      <c r="D16" s="58" t="s">
        <v>724</v>
      </c>
      <c r="F16" s="54"/>
      <c r="H16" s="53" t="s">
        <v>725</v>
      </c>
      <c r="J16" s="54" t="s">
        <v>726</v>
      </c>
    </row>
    <row r="17" spans="2:10" x14ac:dyDescent="0.25">
      <c r="H17" s="54" t="s">
        <v>727</v>
      </c>
      <c r="J17" s="54" t="s">
        <v>728</v>
      </c>
    </row>
    <row r="18" spans="2:10" x14ac:dyDescent="0.25">
      <c r="B18" s="53" t="s">
        <v>729</v>
      </c>
      <c r="F18" s="56"/>
      <c r="H18" s="54"/>
      <c r="J18" s="54" t="s">
        <v>730</v>
      </c>
    </row>
    <row r="19" spans="2:10" x14ac:dyDescent="0.25">
      <c r="B19" s="54" t="s">
        <v>731</v>
      </c>
      <c r="D19" s="53" t="s">
        <v>732</v>
      </c>
      <c r="F19" s="53" t="s">
        <v>733</v>
      </c>
      <c r="J19" s="54" t="s">
        <v>734</v>
      </c>
    </row>
    <row r="20" spans="2:10" x14ac:dyDescent="0.25">
      <c r="B20" s="54" t="s">
        <v>727</v>
      </c>
      <c r="D20" s="54" t="s">
        <v>731</v>
      </c>
      <c r="F20" s="54" t="s">
        <v>735</v>
      </c>
      <c r="H20" s="56"/>
      <c r="J20" s="54" t="s">
        <v>736</v>
      </c>
    </row>
    <row r="21" spans="2:10" ht="15.75" customHeight="1" x14ac:dyDescent="0.25">
      <c r="B21" s="54" t="s">
        <v>737</v>
      </c>
      <c r="D21" s="54" t="s">
        <v>727</v>
      </c>
      <c r="H21" s="53" t="s">
        <v>738</v>
      </c>
      <c r="J21" s="54" t="s">
        <v>739</v>
      </c>
    </row>
    <row r="22" spans="2:10" ht="15.75" customHeight="1" x14ac:dyDescent="0.25">
      <c r="B22" s="54" t="s">
        <v>740</v>
      </c>
      <c r="D22" s="54" t="s">
        <v>737</v>
      </c>
      <c r="F22" s="56"/>
      <c r="H22" s="54" t="s">
        <v>741</v>
      </c>
      <c r="J22" s="54" t="s">
        <v>742</v>
      </c>
    </row>
    <row r="23" spans="2:10" ht="15.75" customHeight="1" x14ac:dyDescent="0.25">
      <c r="B23" s="54" t="s">
        <v>743</v>
      </c>
      <c r="D23" s="54" t="s">
        <v>740</v>
      </c>
      <c r="F23" s="53" t="s">
        <v>744</v>
      </c>
      <c r="H23" s="54" t="s">
        <v>745</v>
      </c>
      <c r="J23" s="54" t="s">
        <v>746</v>
      </c>
    </row>
    <row r="24" spans="2:10" ht="15.75" customHeight="1" x14ac:dyDescent="0.25">
      <c r="D24" s="54" t="s">
        <v>743</v>
      </c>
      <c r="F24" s="54" t="s">
        <v>747</v>
      </c>
      <c r="H24" s="54" t="s">
        <v>748</v>
      </c>
      <c r="J24" s="54" t="s">
        <v>749</v>
      </c>
    </row>
    <row r="25" spans="2:10" ht="15.75" customHeight="1" x14ac:dyDescent="0.25">
      <c r="H25" s="54"/>
      <c r="J25" s="54" t="s">
        <v>750</v>
      </c>
    </row>
    <row r="26" spans="2:10" ht="15.75" customHeight="1" x14ac:dyDescent="0.25">
      <c r="B26" s="38" t="e">
        <f>CONCATENATE("TEC_",#REF!)</f>
        <v>#REF!</v>
      </c>
      <c r="F26" s="56"/>
      <c r="J26" s="54" t="s">
        <v>751</v>
      </c>
    </row>
    <row r="27" spans="2:10" ht="15.75" customHeight="1" x14ac:dyDescent="0.25">
      <c r="B27" s="38" t="e">
        <f>CONCATENATE("REC_",#REF!)</f>
        <v>#REF!</v>
      </c>
      <c r="F27" s="53" t="s">
        <v>752</v>
      </c>
      <c r="H27" s="56"/>
      <c r="J27" s="54" t="s">
        <v>753</v>
      </c>
    </row>
    <row r="28" spans="2:10" ht="15.75" customHeight="1" x14ac:dyDescent="0.25">
      <c r="D28" s="53" t="s">
        <v>754</v>
      </c>
      <c r="F28" s="54" t="s">
        <v>755</v>
      </c>
      <c r="H28" s="53" t="s">
        <v>756</v>
      </c>
      <c r="J28" s="54" t="s">
        <v>757</v>
      </c>
    </row>
    <row r="29" spans="2:10" ht="15.75" customHeight="1" x14ac:dyDescent="0.25">
      <c r="D29" s="59" t="s">
        <v>758</v>
      </c>
      <c r="H29" s="54" t="s">
        <v>759</v>
      </c>
      <c r="J29" s="54" t="s">
        <v>760</v>
      </c>
    </row>
    <row r="30" spans="2:10" ht="15.75" customHeight="1" x14ac:dyDescent="0.25">
      <c r="D30" s="59" t="s">
        <v>761</v>
      </c>
      <c r="F30" s="56"/>
      <c r="H30" s="54" t="s">
        <v>762</v>
      </c>
      <c r="J30" s="54" t="s">
        <v>763</v>
      </c>
    </row>
    <row r="31" spans="2:10" ht="15.75" customHeight="1" x14ac:dyDescent="0.25">
      <c r="D31" s="59" t="s">
        <v>764</v>
      </c>
      <c r="F31" s="53" t="s">
        <v>765</v>
      </c>
      <c r="H31" s="54"/>
      <c r="J31" s="54" t="s">
        <v>766</v>
      </c>
    </row>
    <row r="32" spans="2:10" ht="15.75" customHeight="1" x14ac:dyDescent="0.25">
      <c r="D32" s="59" t="s">
        <v>767</v>
      </c>
      <c r="F32" s="54" t="s">
        <v>768</v>
      </c>
      <c r="J32" s="54" t="s">
        <v>769</v>
      </c>
    </row>
    <row r="33" spans="4:22" ht="15.75" customHeight="1" x14ac:dyDescent="0.25">
      <c r="D33" s="59" t="s">
        <v>770</v>
      </c>
      <c r="H33" s="56"/>
      <c r="J33" s="54" t="s">
        <v>771</v>
      </c>
    </row>
    <row r="34" spans="4:22" ht="15.75" customHeight="1" x14ac:dyDescent="0.25">
      <c r="H34" s="53" t="s">
        <v>772</v>
      </c>
      <c r="J34" s="54" t="s">
        <v>773</v>
      </c>
    </row>
    <row r="35" spans="4:22" ht="15.75" customHeight="1" x14ac:dyDescent="0.25">
      <c r="F35" s="53" t="s">
        <v>774</v>
      </c>
      <c r="H35" s="54" t="s">
        <v>775</v>
      </c>
      <c r="J35" s="54" t="s">
        <v>776</v>
      </c>
    </row>
    <row r="36" spans="4:22" ht="15.75" customHeight="1" x14ac:dyDescent="0.25">
      <c r="D36" s="53" t="s">
        <v>4</v>
      </c>
      <c r="F36" s="54"/>
      <c r="J36" s="54" t="s">
        <v>777</v>
      </c>
    </row>
    <row r="37" spans="4:22" ht="15.75" customHeight="1" x14ac:dyDescent="0.25">
      <c r="D37" s="54"/>
      <c r="F37" s="54" t="s">
        <v>778</v>
      </c>
      <c r="J37" s="54" t="s">
        <v>779</v>
      </c>
    </row>
    <row r="38" spans="4:22" ht="15.75" customHeight="1" x14ac:dyDescent="0.25">
      <c r="D38" s="59" t="s">
        <v>303</v>
      </c>
      <c r="J38" s="54" t="s">
        <v>780</v>
      </c>
    </row>
    <row r="39" spans="4:22" ht="15.75" customHeight="1" x14ac:dyDescent="0.25">
      <c r="D39" s="59" t="s">
        <v>153</v>
      </c>
      <c r="F39" s="38" t="e">
        <f t="array" ref="F39:V39">#REF!</f>
        <v>#REF!</v>
      </c>
      <c r="G39" s="38" t="e">
        <v>#REF!</v>
      </c>
      <c r="H39" s="38" t="e">
        <v>#REF!</v>
      </c>
      <c r="I39" s="38" t="e">
        <v>#REF!</v>
      </c>
      <c r="J39" s="38" t="e">
        <v>#REF!</v>
      </c>
      <c r="K39" s="38" t="e">
        <v>#REF!</v>
      </c>
      <c r="L39" s="38" t="e">
        <v>#REF!</v>
      </c>
      <c r="M39" s="38" t="e">
        <v>#REF!</v>
      </c>
      <c r="N39" s="38" t="e">
        <v>#REF!</v>
      </c>
      <c r="O39" s="38" t="e">
        <v>#REF!</v>
      </c>
      <c r="P39" s="38" t="e">
        <v>#REF!</v>
      </c>
      <c r="Q39" s="38" t="e">
        <v>#REF!</v>
      </c>
      <c r="R39" s="38" t="e">
        <v>#REF!</v>
      </c>
      <c r="S39" s="38" t="e">
        <v>#REF!</v>
      </c>
      <c r="T39" s="38" t="e">
        <v>#REF!</v>
      </c>
      <c r="U39" s="38" t="e">
        <v>#REF!</v>
      </c>
      <c r="V39" s="38" t="e">
        <v>#REF!</v>
      </c>
    </row>
    <row r="40" spans="4:22" ht="15.75" customHeight="1" x14ac:dyDescent="0.25">
      <c r="D40" s="59" t="s">
        <v>20</v>
      </c>
    </row>
    <row r="41" spans="4:22" ht="15.75" customHeight="1" x14ac:dyDescent="0.25">
      <c r="D41" s="59" t="s">
        <v>781</v>
      </c>
    </row>
    <row r="42" spans="4:22" ht="15.75" customHeight="1" x14ac:dyDescent="0.25">
      <c r="D42" s="59"/>
    </row>
    <row r="43" spans="4:22" ht="15.75" customHeight="1" x14ac:dyDescent="0.25"/>
    <row r="44" spans="4:22" ht="15.75" customHeight="1" x14ac:dyDescent="0.25">
      <c r="F44" s="38" t="e">
        <f t="array" ref="F44">IF(G12=Listas!$B$20,tecbio,IF(G12=Listas!$B$21,Listas!H$13:H$14,IF(G12=Listas!$B$22,teceol,IF(G12=Listas!$B$23,tecgeo,IF(G12=Listas!$B$24,tecpch,IF(G12=Listas!$B$25,tecsol,"Seleccionar tipo de tecnología"))))))</f>
        <v>#NAME?</v>
      </c>
    </row>
    <row r="45" spans="4:22" ht="15.75" customHeight="1" x14ac:dyDescent="0.25"/>
    <row r="46" spans="4:22" ht="15.75" customHeight="1" x14ac:dyDescent="0.25"/>
    <row r="47" spans="4:22" ht="15.75" customHeight="1" x14ac:dyDescent="0.25"/>
    <row r="48" spans="4: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1000"/>
  <sheetViews>
    <sheetView zoomScaleNormal="100" workbookViewId="0"/>
  </sheetViews>
  <sheetFormatPr baseColWidth="10" defaultColWidth="14.42578125" defaultRowHeight="15" x14ac:dyDescent="0.25"/>
  <cols>
    <col min="1" max="1" width="11.5703125" style="1" customWidth="1"/>
    <col min="2" max="2" width="30.5703125" style="1" customWidth="1"/>
    <col min="3" max="6" width="11.5703125" style="1" customWidth="1"/>
    <col min="7" max="7" width="58.42578125" style="1" customWidth="1"/>
    <col min="8" max="12" width="11.5703125" style="1" customWidth="1"/>
  </cols>
  <sheetData>
    <row r="2" spans="2:7" x14ac:dyDescent="0.25">
      <c r="G2" s="60" t="s">
        <v>782</v>
      </c>
    </row>
    <row r="3" spans="2:7" x14ac:dyDescent="0.25">
      <c r="B3" s="61" t="s">
        <v>783</v>
      </c>
      <c r="G3" s="62" t="s">
        <v>784</v>
      </c>
    </row>
    <row r="4" spans="2:7" x14ac:dyDescent="0.25">
      <c r="B4" s="54"/>
      <c r="D4" s="38" t="s">
        <v>785</v>
      </c>
      <c r="G4" s="63" t="s">
        <v>786</v>
      </c>
    </row>
    <row r="5" spans="2:7" x14ac:dyDescent="0.25">
      <c r="B5" s="54" t="s">
        <v>783</v>
      </c>
      <c r="D5" s="38" t="s">
        <v>787</v>
      </c>
      <c r="G5" s="63" t="s">
        <v>788</v>
      </c>
    </row>
    <row r="6" spans="2:7" x14ac:dyDescent="0.25">
      <c r="B6" s="54" t="s">
        <v>789</v>
      </c>
      <c r="D6" s="38" t="s">
        <v>790</v>
      </c>
      <c r="G6" s="63" t="s">
        <v>791</v>
      </c>
    </row>
    <row r="7" spans="2:7" x14ac:dyDescent="0.25">
      <c r="B7" s="54" t="s">
        <v>792</v>
      </c>
      <c r="G7" s="63" t="s">
        <v>793</v>
      </c>
    </row>
    <row r="8" spans="2:7" x14ac:dyDescent="0.25">
      <c r="G8" s="63" t="s">
        <v>794</v>
      </c>
    </row>
    <row r="9" spans="2:7" x14ac:dyDescent="0.25">
      <c r="B9" s="61" t="s">
        <v>795</v>
      </c>
      <c r="G9" s="63" t="s">
        <v>796</v>
      </c>
    </row>
    <row r="10" spans="2:7" x14ac:dyDescent="0.25">
      <c r="B10" s="54"/>
      <c r="D10" s="38" t="s">
        <v>797</v>
      </c>
      <c r="G10" s="63" t="s">
        <v>798</v>
      </c>
    </row>
    <row r="11" spans="2:7" x14ac:dyDescent="0.25">
      <c r="B11" s="54" t="s">
        <v>799</v>
      </c>
      <c r="D11" s="38" t="s">
        <v>800</v>
      </c>
      <c r="G11" s="63" t="s">
        <v>801</v>
      </c>
    </row>
    <row r="12" spans="2:7" x14ac:dyDescent="0.25">
      <c r="B12" s="54" t="s">
        <v>802</v>
      </c>
      <c r="G12" s="63" t="s">
        <v>803</v>
      </c>
    </row>
    <row r="13" spans="2:7" x14ac:dyDescent="0.25">
      <c r="B13" s="54" t="s">
        <v>804</v>
      </c>
      <c r="D13" s="38" t="s">
        <v>805</v>
      </c>
      <c r="G13" s="63" t="s">
        <v>806</v>
      </c>
    </row>
    <row r="14" spans="2:7" x14ac:dyDescent="0.25">
      <c r="D14" s="38" t="s">
        <v>807</v>
      </c>
      <c r="G14" s="63" t="s">
        <v>808</v>
      </c>
    </row>
    <row r="15" spans="2:7" x14ac:dyDescent="0.25">
      <c r="B15" s="61" t="s">
        <v>783</v>
      </c>
      <c r="G15" s="63" t="s">
        <v>809</v>
      </c>
    </row>
    <row r="16" spans="2:7" x14ac:dyDescent="0.25">
      <c r="B16" s="54"/>
      <c r="G16" s="63" t="s">
        <v>810</v>
      </c>
    </row>
    <row r="17" spans="2:7" x14ac:dyDescent="0.25">
      <c r="B17" s="54" t="s">
        <v>805</v>
      </c>
      <c r="G17" s="63" t="s">
        <v>811</v>
      </c>
    </row>
    <row r="18" spans="2:7" x14ac:dyDescent="0.25">
      <c r="B18" s="54" t="s">
        <v>807</v>
      </c>
      <c r="G18" s="63" t="s">
        <v>812</v>
      </c>
    </row>
    <row r="19" spans="2:7" x14ac:dyDescent="0.25">
      <c r="B19" s="54" t="s">
        <v>792</v>
      </c>
      <c r="G19" s="63" t="s">
        <v>813</v>
      </c>
    </row>
    <row r="20" spans="2:7" x14ac:dyDescent="0.25">
      <c r="G20" s="63" t="s">
        <v>814</v>
      </c>
    </row>
    <row r="21" spans="2:7" ht="15.75" customHeight="1" x14ac:dyDescent="0.25">
      <c r="G21" s="63" t="s">
        <v>815</v>
      </c>
    </row>
    <row r="22" spans="2:7" ht="15.75" customHeight="1" x14ac:dyDescent="0.25">
      <c r="G22" s="63" t="s">
        <v>816</v>
      </c>
    </row>
    <row r="23" spans="2:7" ht="15.75" customHeight="1" x14ac:dyDescent="0.25">
      <c r="G23" s="63" t="s">
        <v>817</v>
      </c>
    </row>
    <row r="24" spans="2:7" ht="15.75" customHeight="1" x14ac:dyDescent="0.25">
      <c r="G24" s="63" t="s">
        <v>818</v>
      </c>
    </row>
    <row r="25" spans="2:7" ht="15.75" customHeight="1" x14ac:dyDescent="0.25">
      <c r="G25" s="63" t="s">
        <v>819</v>
      </c>
    </row>
    <row r="26" spans="2:7" ht="15.75" customHeight="1" x14ac:dyDescent="0.25">
      <c r="G26" s="63" t="s">
        <v>820</v>
      </c>
    </row>
    <row r="27" spans="2:7" ht="15.75" customHeight="1" x14ac:dyDescent="0.25">
      <c r="G27" s="63" t="s">
        <v>821</v>
      </c>
    </row>
    <row r="28" spans="2:7" ht="15.75" customHeight="1" x14ac:dyDescent="0.25">
      <c r="G28" s="63" t="s">
        <v>822</v>
      </c>
    </row>
    <row r="29" spans="2:7" ht="15.75" customHeight="1" x14ac:dyDescent="0.25">
      <c r="G29" s="63" t="s">
        <v>823</v>
      </c>
    </row>
    <row r="30" spans="2:7" ht="15.75" customHeight="1" x14ac:dyDescent="0.25">
      <c r="G30" s="63" t="s">
        <v>824</v>
      </c>
    </row>
    <row r="31" spans="2:7" ht="15.75" customHeight="1" x14ac:dyDescent="0.25">
      <c r="G31" s="63" t="s">
        <v>825</v>
      </c>
    </row>
    <row r="32" spans="2:7" ht="15.75" customHeight="1" x14ac:dyDescent="0.25">
      <c r="G32" s="63" t="s">
        <v>826</v>
      </c>
    </row>
    <row r="33" spans="7:12" ht="15.75" customHeight="1" x14ac:dyDescent="0.25">
      <c r="G33" s="63" t="s">
        <v>827</v>
      </c>
    </row>
    <row r="34" spans="7:12" ht="15.75" customHeight="1" x14ac:dyDescent="0.25">
      <c r="G34" s="63" t="s">
        <v>828</v>
      </c>
    </row>
    <row r="35" spans="7:12" ht="15.75" customHeight="1" x14ac:dyDescent="0.25">
      <c r="G35" s="63" t="s">
        <v>829</v>
      </c>
    </row>
    <row r="36" spans="7:12" ht="15.75" customHeight="1" x14ac:dyDescent="0.25">
      <c r="G36" s="63" t="s">
        <v>830</v>
      </c>
    </row>
    <row r="37" spans="7:12" ht="15.75" customHeight="1" x14ac:dyDescent="0.25">
      <c r="G37" s="63" t="s">
        <v>831</v>
      </c>
    </row>
    <row r="38" spans="7:12" ht="15.75" customHeight="1" x14ac:dyDescent="0.25">
      <c r="G38" s="63" t="s">
        <v>832</v>
      </c>
      <c r="H38" s="64"/>
      <c r="I38" s="64"/>
      <c r="J38" s="64"/>
      <c r="K38" s="64"/>
      <c r="L38" s="64"/>
    </row>
    <row r="39" spans="7:12" ht="15.75" customHeight="1" x14ac:dyDescent="0.25">
      <c r="G39" s="63" t="s">
        <v>833</v>
      </c>
    </row>
    <row r="40" spans="7:12" ht="15.75" customHeight="1" x14ac:dyDescent="0.25">
      <c r="G40" s="63" t="s">
        <v>834</v>
      </c>
    </row>
    <row r="41" spans="7:12" ht="15.75" customHeight="1" x14ac:dyDescent="0.25">
      <c r="G41" s="63" t="s">
        <v>835</v>
      </c>
    </row>
    <row r="42" spans="7:12" ht="15.75" customHeight="1" x14ac:dyDescent="0.25">
      <c r="G42" s="63" t="s">
        <v>836</v>
      </c>
    </row>
    <row r="43" spans="7:12" ht="15.75" customHeight="1" x14ac:dyDescent="0.25">
      <c r="G43" s="63" t="s">
        <v>837</v>
      </c>
    </row>
    <row r="44" spans="7:12" ht="15.75" customHeight="1" x14ac:dyDescent="0.25">
      <c r="G44" s="63" t="s">
        <v>838</v>
      </c>
    </row>
    <row r="45" spans="7:12" ht="15.75" customHeight="1" x14ac:dyDescent="0.25">
      <c r="G45" s="63" t="s">
        <v>839</v>
      </c>
    </row>
    <row r="46" spans="7:12" ht="15.75" customHeight="1" x14ac:dyDescent="0.25">
      <c r="G46" s="63" t="s">
        <v>840</v>
      </c>
    </row>
    <row r="47" spans="7:12" ht="15.75" customHeight="1" x14ac:dyDescent="0.25">
      <c r="G47" s="63" t="s">
        <v>841</v>
      </c>
    </row>
    <row r="48" spans="7:12" ht="15.75" customHeight="1" x14ac:dyDescent="0.25">
      <c r="G48" s="63" t="s">
        <v>842</v>
      </c>
    </row>
    <row r="49" spans="7:7" ht="15.75" customHeight="1" x14ac:dyDescent="0.25">
      <c r="G49" s="63" t="s">
        <v>843</v>
      </c>
    </row>
    <row r="50" spans="7:7" ht="15.75" customHeight="1" x14ac:dyDescent="0.25">
      <c r="G50" s="63" t="s">
        <v>844</v>
      </c>
    </row>
    <row r="51" spans="7:7" ht="15.75" customHeight="1" x14ac:dyDescent="0.25">
      <c r="G51" s="63" t="s">
        <v>845</v>
      </c>
    </row>
    <row r="52" spans="7:7" ht="15.75" customHeight="1" x14ac:dyDescent="0.25">
      <c r="G52" s="63" t="s">
        <v>846</v>
      </c>
    </row>
    <row r="53" spans="7:7" ht="15.75" customHeight="1" x14ac:dyDescent="0.25">
      <c r="G53" s="63" t="s">
        <v>847</v>
      </c>
    </row>
    <row r="54" spans="7:7" ht="15.75" customHeight="1" x14ac:dyDescent="0.25">
      <c r="G54" s="63" t="s">
        <v>848</v>
      </c>
    </row>
    <row r="55" spans="7:7" ht="15.75" customHeight="1" x14ac:dyDescent="0.25">
      <c r="G55" s="63" t="s">
        <v>849</v>
      </c>
    </row>
    <row r="56" spans="7:7" ht="15.75" customHeight="1" x14ac:dyDescent="0.25">
      <c r="G56" s="63" t="s">
        <v>850</v>
      </c>
    </row>
    <row r="57" spans="7:7" ht="15.75" customHeight="1" x14ac:dyDescent="0.25">
      <c r="G57" s="63" t="s">
        <v>851</v>
      </c>
    </row>
    <row r="58" spans="7:7" ht="15.75" customHeight="1" x14ac:dyDescent="0.25">
      <c r="G58" s="63" t="s">
        <v>852</v>
      </c>
    </row>
    <row r="59" spans="7:7" ht="15.75" customHeight="1" x14ac:dyDescent="0.25">
      <c r="G59" s="63" t="s">
        <v>853</v>
      </c>
    </row>
    <row r="60" spans="7:7" ht="15.75" customHeight="1" x14ac:dyDescent="0.25">
      <c r="G60" s="63" t="s">
        <v>854</v>
      </c>
    </row>
    <row r="61" spans="7:7" ht="15.75" customHeight="1" x14ac:dyDescent="0.25">
      <c r="G61" s="63" t="s">
        <v>855</v>
      </c>
    </row>
    <row r="62" spans="7:7" ht="15.75" customHeight="1" x14ac:dyDescent="0.25">
      <c r="G62" s="63" t="s">
        <v>856</v>
      </c>
    </row>
    <row r="63" spans="7:7" ht="15.75" customHeight="1" x14ac:dyDescent="0.25">
      <c r="G63" s="63" t="s">
        <v>857</v>
      </c>
    </row>
    <row r="64" spans="7:7" ht="15.75" customHeight="1" x14ac:dyDescent="0.25">
      <c r="G64" s="63" t="s">
        <v>858</v>
      </c>
    </row>
    <row r="65" spans="7:7" ht="15.75" customHeight="1" x14ac:dyDescent="0.25">
      <c r="G65" s="63" t="s">
        <v>859</v>
      </c>
    </row>
    <row r="66" spans="7:7" ht="15.75" customHeight="1" x14ac:dyDescent="0.25">
      <c r="G66" s="63" t="s">
        <v>860</v>
      </c>
    </row>
    <row r="67" spans="7:7" ht="15.75" customHeight="1" x14ac:dyDescent="0.25">
      <c r="G67" s="63" t="s">
        <v>861</v>
      </c>
    </row>
    <row r="68" spans="7:7" ht="15.75" customHeight="1" x14ac:dyDescent="0.25">
      <c r="G68" s="63" t="s">
        <v>862</v>
      </c>
    </row>
    <row r="69" spans="7:7" ht="15.75" customHeight="1" x14ac:dyDescent="0.25">
      <c r="G69" s="63" t="s">
        <v>863</v>
      </c>
    </row>
    <row r="70" spans="7:7" ht="15.75" customHeight="1" x14ac:dyDescent="0.25">
      <c r="G70" s="63" t="s">
        <v>864</v>
      </c>
    </row>
    <row r="71" spans="7:7" ht="15.75" customHeight="1" x14ac:dyDescent="0.25">
      <c r="G71" s="63" t="s">
        <v>865</v>
      </c>
    </row>
    <row r="72" spans="7:7" ht="15.75" customHeight="1" x14ac:dyDescent="0.25">
      <c r="G72" s="63" t="s">
        <v>866</v>
      </c>
    </row>
    <row r="73" spans="7:7" ht="15.75" customHeight="1" x14ac:dyDescent="0.25">
      <c r="G73" s="63" t="s">
        <v>867</v>
      </c>
    </row>
    <row r="74" spans="7:7" ht="15.75" customHeight="1" x14ac:dyDescent="0.25">
      <c r="G74" s="63" t="s">
        <v>868</v>
      </c>
    </row>
    <row r="75" spans="7:7" ht="15.75" customHeight="1" x14ac:dyDescent="0.25">
      <c r="G75" s="63" t="s">
        <v>869</v>
      </c>
    </row>
    <row r="76" spans="7:7" ht="15.75" customHeight="1" x14ac:dyDescent="0.25">
      <c r="G76" s="63" t="s">
        <v>870</v>
      </c>
    </row>
    <row r="77" spans="7:7" ht="15.75" customHeight="1" x14ac:dyDescent="0.25">
      <c r="G77" s="63" t="s">
        <v>871</v>
      </c>
    </row>
    <row r="78" spans="7:7" ht="15.75" customHeight="1" x14ac:dyDescent="0.25">
      <c r="G78" s="63" t="s">
        <v>872</v>
      </c>
    </row>
    <row r="79" spans="7:7" ht="15.75" customHeight="1" x14ac:dyDescent="0.25">
      <c r="G79" s="63" t="s">
        <v>873</v>
      </c>
    </row>
    <row r="80" spans="7:7" ht="15.75" customHeight="1" x14ac:dyDescent="0.25">
      <c r="G80" s="63" t="s">
        <v>874</v>
      </c>
    </row>
    <row r="81" spans="7:7" ht="15.75" customHeight="1" x14ac:dyDescent="0.25">
      <c r="G81" s="63" t="s">
        <v>875</v>
      </c>
    </row>
    <row r="82" spans="7:7" ht="15.75" customHeight="1" x14ac:dyDescent="0.25">
      <c r="G82" s="63" t="s">
        <v>876</v>
      </c>
    </row>
    <row r="83" spans="7:7" ht="15.75" customHeight="1" x14ac:dyDescent="0.25">
      <c r="G83" s="63" t="s">
        <v>877</v>
      </c>
    </row>
    <row r="84" spans="7:7" ht="15.75" customHeight="1" x14ac:dyDescent="0.25">
      <c r="G84" s="63" t="s">
        <v>878</v>
      </c>
    </row>
    <row r="85" spans="7:7" ht="15.75" customHeight="1" x14ac:dyDescent="0.25">
      <c r="G85" s="63" t="s">
        <v>879</v>
      </c>
    </row>
    <row r="86" spans="7:7" ht="15.75" customHeight="1" x14ac:dyDescent="0.25">
      <c r="G86" s="63" t="s">
        <v>880</v>
      </c>
    </row>
    <row r="87" spans="7:7" ht="15.75" customHeight="1" x14ac:dyDescent="0.25">
      <c r="G87" s="63" t="s">
        <v>881</v>
      </c>
    </row>
    <row r="88" spans="7:7" ht="15.75" customHeight="1" x14ac:dyDescent="0.25">
      <c r="G88" s="63" t="s">
        <v>882</v>
      </c>
    </row>
    <row r="89" spans="7:7" ht="15.75" customHeight="1" x14ac:dyDescent="0.25">
      <c r="G89" s="63" t="s">
        <v>883</v>
      </c>
    </row>
    <row r="90" spans="7:7" ht="15.75" customHeight="1" x14ac:dyDescent="0.25">
      <c r="G90" s="63" t="s">
        <v>884</v>
      </c>
    </row>
    <row r="91" spans="7:7" ht="15.75" customHeight="1" x14ac:dyDescent="0.25">
      <c r="G91" s="63" t="s">
        <v>885</v>
      </c>
    </row>
    <row r="92" spans="7:7" ht="15.75" customHeight="1" x14ac:dyDescent="0.25">
      <c r="G92" s="63" t="s">
        <v>886</v>
      </c>
    </row>
    <row r="93" spans="7:7" ht="15.75" customHeight="1" x14ac:dyDescent="0.25">
      <c r="G93" s="63" t="s">
        <v>887</v>
      </c>
    </row>
    <row r="94" spans="7:7" ht="15.75" customHeight="1" x14ac:dyDescent="0.25">
      <c r="G94" s="63" t="s">
        <v>888</v>
      </c>
    </row>
    <row r="95" spans="7:7" ht="15.75" customHeight="1" x14ac:dyDescent="0.25">
      <c r="G95" s="63" t="s">
        <v>889</v>
      </c>
    </row>
    <row r="96" spans="7:7" ht="15.75" customHeight="1" x14ac:dyDescent="0.25">
      <c r="G96" s="63" t="s">
        <v>890</v>
      </c>
    </row>
    <row r="97" spans="7:7" ht="15.75" customHeight="1" x14ac:dyDescent="0.25">
      <c r="G97" s="63" t="s">
        <v>891</v>
      </c>
    </row>
    <row r="98" spans="7:7" ht="15.75" customHeight="1" x14ac:dyDescent="0.25">
      <c r="G98" s="63" t="s">
        <v>892</v>
      </c>
    </row>
    <row r="99" spans="7:7" ht="15.75" customHeight="1" x14ac:dyDescent="0.25">
      <c r="G99" s="63" t="s">
        <v>893</v>
      </c>
    </row>
    <row r="100" spans="7:7" ht="15.75" customHeight="1" x14ac:dyDescent="0.25">
      <c r="G100" s="63" t="s">
        <v>894</v>
      </c>
    </row>
    <row r="101" spans="7:7" ht="15.75" customHeight="1" x14ac:dyDescent="0.25">
      <c r="G101" s="63" t="s">
        <v>895</v>
      </c>
    </row>
    <row r="102" spans="7:7" ht="15.75" customHeight="1" x14ac:dyDescent="0.25">
      <c r="G102" s="63" t="s">
        <v>896</v>
      </c>
    </row>
    <row r="103" spans="7:7" ht="15.75" customHeight="1" x14ac:dyDescent="0.25">
      <c r="G103" s="63" t="s">
        <v>897</v>
      </c>
    </row>
    <row r="104" spans="7:7" ht="15.75" customHeight="1" x14ac:dyDescent="0.25">
      <c r="G104" s="63" t="s">
        <v>898</v>
      </c>
    </row>
    <row r="105" spans="7:7" ht="15.75" customHeight="1" x14ac:dyDescent="0.25">
      <c r="G105" s="63" t="s">
        <v>899</v>
      </c>
    </row>
    <row r="106" spans="7:7" ht="15.75" customHeight="1" x14ac:dyDescent="0.25">
      <c r="G106" s="63" t="s">
        <v>900</v>
      </c>
    </row>
    <row r="107" spans="7:7" ht="15.75" customHeight="1" x14ac:dyDescent="0.25">
      <c r="G107" s="63" t="s">
        <v>901</v>
      </c>
    </row>
    <row r="108" spans="7:7" ht="15.75" customHeight="1" x14ac:dyDescent="0.25">
      <c r="G108" s="63" t="s">
        <v>902</v>
      </c>
    </row>
    <row r="109" spans="7:7" ht="15.75" customHeight="1" x14ac:dyDescent="0.25">
      <c r="G109" s="63" t="s">
        <v>903</v>
      </c>
    </row>
    <row r="110" spans="7:7" ht="15.75" customHeight="1" x14ac:dyDescent="0.25">
      <c r="G110" s="63" t="s">
        <v>904</v>
      </c>
    </row>
    <row r="111" spans="7:7" ht="15.75" customHeight="1" x14ac:dyDescent="0.25">
      <c r="G111" s="63" t="s">
        <v>905</v>
      </c>
    </row>
    <row r="112" spans="7:7" ht="15.75" customHeight="1" x14ac:dyDescent="0.25">
      <c r="G112" s="63" t="s">
        <v>906</v>
      </c>
    </row>
    <row r="113" spans="7:7" ht="15.75" customHeight="1" x14ac:dyDescent="0.25">
      <c r="G113" s="63" t="s">
        <v>907</v>
      </c>
    </row>
    <row r="114" spans="7:7" ht="15.75" customHeight="1" x14ac:dyDescent="0.25">
      <c r="G114" s="63"/>
    </row>
    <row r="115" spans="7:7" ht="15.75" customHeight="1" x14ac:dyDescent="0.25">
      <c r="G115" s="63" t="s">
        <v>908</v>
      </c>
    </row>
    <row r="116" spans="7:7" ht="15.75" customHeight="1" x14ac:dyDescent="0.25">
      <c r="G116" s="63" t="s">
        <v>909</v>
      </c>
    </row>
    <row r="117" spans="7:7" ht="15.75" customHeight="1" x14ac:dyDescent="0.25">
      <c r="G117" s="63" t="s">
        <v>910</v>
      </c>
    </row>
    <row r="118" spans="7:7" ht="15.75" customHeight="1" x14ac:dyDescent="0.25">
      <c r="G118" s="63" t="s">
        <v>911</v>
      </c>
    </row>
    <row r="119" spans="7:7" ht="15.75" customHeight="1" x14ac:dyDescent="0.25">
      <c r="G119" s="63" t="s">
        <v>912</v>
      </c>
    </row>
    <row r="120" spans="7:7" ht="15.75" customHeight="1" x14ac:dyDescent="0.25">
      <c r="G120" s="63" t="s">
        <v>913</v>
      </c>
    </row>
    <row r="121" spans="7:7" ht="15.75" customHeight="1" x14ac:dyDescent="0.25">
      <c r="G121" s="63" t="s">
        <v>914</v>
      </c>
    </row>
    <row r="122" spans="7:7" ht="15.75" customHeight="1" x14ac:dyDescent="0.25">
      <c r="G122" s="63" t="s">
        <v>915</v>
      </c>
    </row>
    <row r="123" spans="7:7" ht="15.75" customHeight="1" x14ac:dyDescent="0.25">
      <c r="G123" s="63" t="s">
        <v>916</v>
      </c>
    </row>
    <row r="124" spans="7:7" ht="15.75" customHeight="1" x14ac:dyDescent="0.25">
      <c r="G124" s="63" t="s">
        <v>917</v>
      </c>
    </row>
    <row r="125" spans="7:7" ht="15.75" customHeight="1" x14ac:dyDescent="0.25">
      <c r="G125" s="63" t="s">
        <v>918</v>
      </c>
    </row>
    <row r="126" spans="7:7" ht="15.75" customHeight="1" x14ac:dyDescent="0.25">
      <c r="G126" s="63" t="s">
        <v>919</v>
      </c>
    </row>
    <row r="127" spans="7:7" ht="15.75" customHeight="1" x14ac:dyDescent="0.25">
      <c r="G127" s="63" t="s">
        <v>920</v>
      </c>
    </row>
    <row r="128" spans="7:7" ht="15.75" customHeight="1" x14ac:dyDescent="0.25">
      <c r="G128" s="63" t="s">
        <v>921</v>
      </c>
    </row>
    <row r="129" spans="7:7" ht="15.75" customHeight="1" x14ac:dyDescent="0.25">
      <c r="G129" s="63" t="s">
        <v>922</v>
      </c>
    </row>
    <row r="130" spans="7:7" ht="15.75" customHeight="1" x14ac:dyDescent="0.25">
      <c r="G130" s="63" t="s">
        <v>923</v>
      </c>
    </row>
    <row r="131" spans="7:7" ht="15.75" customHeight="1" x14ac:dyDescent="0.25">
      <c r="G131" s="63" t="s">
        <v>924</v>
      </c>
    </row>
    <row r="132" spans="7:7" ht="15.75" customHeight="1" x14ac:dyDescent="0.25">
      <c r="G132" s="63" t="s">
        <v>925</v>
      </c>
    </row>
    <row r="133" spans="7:7" ht="15.75" customHeight="1" x14ac:dyDescent="0.25">
      <c r="G133" s="63" t="s">
        <v>926</v>
      </c>
    </row>
    <row r="134" spans="7:7" ht="15.75" customHeight="1" x14ac:dyDescent="0.25">
      <c r="G134" s="63" t="s">
        <v>927</v>
      </c>
    </row>
    <row r="135" spans="7:7" ht="15.75" customHeight="1" x14ac:dyDescent="0.25">
      <c r="G135" s="63" t="s">
        <v>928</v>
      </c>
    </row>
    <row r="136" spans="7:7" ht="15.75" customHeight="1" x14ac:dyDescent="0.25">
      <c r="G136" s="63" t="s">
        <v>929</v>
      </c>
    </row>
    <row r="137" spans="7:7" ht="15.75" customHeight="1" x14ac:dyDescent="0.25">
      <c r="G137" s="63" t="s">
        <v>930</v>
      </c>
    </row>
    <row r="138" spans="7:7" ht="15.75" customHeight="1" x14ac:dyDescent="0.25">
      <c r="G138" s="63" t="s">
        <v>931</v>
      </c>
    </row>
    <row r="139" spans="7:7" ht="15.75" customHeight="1" x14ac:dyDescent="0.25">
      <c r="G139" s="63" t="s">
        <v>932</v>
      </c>
    </row>
    <row r="140" spans="7:7" ht="15.75" customHeight="1" x14ac:dyDescent="0.25">
      <c r="G140" s="63" t="s">
        <v>933</v>
      </c>
    </row>
    <row r="141" spans="7:7" ht="15.75" customHeight="1" x14ac:dyDescent="0.25">
      <c r="G141" s="63" t="s">
        <v>934</v>
      </c>
    </row>
    <row r="142" spans="7:7" ht="15.75" customHeight="1" x14ac:dyDescent="0.25">
      <c r="G142" s="63" t="s">
        <v>935</v>
      </c>
    </row>
    <row r="143" spans="7:7" ht="15.75" customHeight="1" x14ac:dyDescent="0.25">
      <c r="G143" s="63" t="s">
        <v>936</v>
      </c>
    </row>
    <row r="144" spans="7:7" ht="15.75" customHeight="1" x14ac:dyDescent="0.25">
      <c r="G144" s="63" t="s">
        <v>937</v>
      </c>
    </row>
    <row r="145" spans="7:7" ht="15.75" customHeight="1" x14ac:dyDescent="0.25">
      <c r="G145" s="63" t="s">
        <v>938</v>
      </c>
    </row>
    <row r="146" spans="7:7" ht="15.75" customHeight="1" x14ac:dyDescent="0.25">
      <c r="G146" s="63" t="s">
        <v>939</v>
      </c>
    </row>
    <row r="147" spans="7:7" ht="15.75" customHeight="1" x14ac:dyDescent="0.25">
      <c r="G147" s="63" t="s">
        <v>940</v>
      </c>
    </row>
    <row r="148" spans="7:7" ht="15.75" customHeight="1" x14ac:dyDescent="0.25">
      <c r="G148" s="63" t="s">
        <v>941</v>
      </c>
    </row>
    <row r="149" spans="7:7" ht="15.75" customHeight="1" x14ac:dyDescent="0.25">
      <c r="G149" s="63"/>
    </row>
    <row r="150" spans="7:7" ht="15.75" customHeight="1" x14ac:dyDescent="0.25">
      <c r="G150" s="63" t="s">
        <v>942</v>
      </c>
    </row>
    <row r="151" spans="7:7" ht="15.75" customHeight="1" x14ac:dyDescent="0.25">
      <c r="G151" s="63" t="s">
        <v>943</v>
      </c>
    </row>
    <row r="152" spans="7:7" ht="15.75" customHeight="1" x14ac:dyDescent="0.25">
      <c r="G152" s="63" t="s">
        <v>944</v>
      </c>
    </row>
    <row r="153" spans="7:7" ht="15.75" customHeight="1" x14ac:dyDescent="0.25">
      <c r="G153" s="63" t="s">
        <v>945</v>
      </c>
    </row>
    <row r="154" spans="7:7" ht="15.75" customHeight="1" x14ac:dyDescent="0.25">
      <c r="G154" s="63" t="s">
        <v>946</v>
      </c>
    </row>
    <row r="155" spans="7:7" ht="15.75" customHeight="1" x14ac:dyDescent="0.25">
      <c r="G155" s="63"/>
    </row>
    <row r="156" spans="7:7" ht="15.75" customHeight="1" x14ac:dyDescent="0.25">
      <c r="G156" s="63" t="s">
        <v>947</v>
      </c>
    </row>
    <row r="157" spans="7:7" ht="15.75" customHeight="1" x14ac:dyDescent="0.25">
      <c r="G157" s="63" t="s">
        <v>948</v>
      </c>
    </row>
    <row r="158" spans="7:7" ht="15.75" customHeight="1" x14ac:dyDescent="0.25">
      <c r="G158" s="63" t="s">
        <v>949</v>
      </c>
    </row>
    <row r="159" spans="7:7" ht="15.75" customHeight="1" x14ac:dyDescent="0.25">
      <c r="G159" s="63" t="s">
        <v>950</v>
      </c>
    </row>
    <row r="160" spans="7:7" ht="15.75" customHeight="1" x14ac:dyDescent="0.25">
      <c r="G160" s="63" t="s">
        <v>951</v>
      </c>
    </row>
    <row r="161" spans="7:7" ht="15.75" customHeight="1" x14ac:dyDescent="0.25">
      <c r="G161" s="63" t="s">
        <v>952</v>
      </c>
    </row>
    <row r="162" spans="7:7" ht="15.75" customHeight="1" x14ac:dyDescent="0.25">
      <c r="G162" s="63" t="s">
        <v>953</v>
      </c>
    </row>
    <row r="163" spans="7:7" ht="15.75" customHeight="1" x14ac:dyDescent="0.25">
      <c r="G163" s="63" t="s">
        <v>954</v>
      </c>
    </row>
    <row r="164" spans="7:7" ht="15.75" customHeight="1" x14ac:dyDescent="0.25">
      <c r="G164" s="63"/>
    </row>
    <row r="165" spans="7:7" ht="15.75" customHeight="1" x14ac:dyDescent="0.25">
      <c r="G165" s="63" t="s">
        <v>955</v>
      </c>
    </row>
    <row r="166" spans="7:7" ht="15.75" customHeight="1" x14ac:dyDescent="0.25">
      <c r="G166" s="63" t="s">
        <v>956</v>
      </c>
    </row>
    <row r="167" spans="7:7" ht="15.75" customHeight="1" x14ac:dyDescent="0.25">
      <c r="G167" s="63" t="s">
        <v>957</v>
      </c>
    </row>
    <row r="168" spans="7:7" ht="15.75" customHeight="1" x14ac:dyDescent="0.25">
      <c r="G168" s="63" t="s">
        <v>958</v>
      </c>
    </row>
    <row r="169" spans="7:7" ht="15.75" customHeight="1" x14ac:dyDescent="0.25">
      <c r="G169" s="63" t="s">
        <v>959</v>
      </c>
    </row>
    <row r="170" spans="7:7" ht="15.75" customHeight="1" x14ac:dyDescent="0.25">
      <c r="G170" s="63" t="s">
        <v>960</v>
      </c>
    </row>
    <row r="171" spans="7:7" ht="15.75" customHeight="1" x14ac:dyDescent="0.25">
      <c r="G171" s="63" t="s">
        <v>961</v>
      </c>
    </row>
    <row r="172" spans="7:7" ht="15.75" customHeight="1" x14ac:dyDescent="0.25">
      <c r="G172" s="63" t="s">
        <v>962</v>
      </c>
    </row>
    <row r="173" spans="7:7" ht="15.75" customHeight="1" x14ac:dyDescent="0.25">
      <c r="G173" s="63" t="s">
        <v>963</v>
      </c>
    </row>
    <row r="174" spans="7:7" ht="15.75" customHeight="1" x14ac:dyDescent="0.25">
      <c r="G174" s="63" t="s">
        <v>964</v>
      </c>
    </row>
    <row r="175" spans="7:7" ht="15.75" customHeight="1" x14ac:dyDescent="0.25">
      <c r="G175" s="63"/>
    </row>
    <row r="176" spans="7:7" ht="15.75" customHeight="1" x14ac:dyDescent="0.25">
      <c r="G176" s="63" t="s">
        <v>965</v>
      </c>
    </row>
    <row r="177" spans="7:7" ht="15.75" customHeight="1" x14ac:dyDescent="0.25">
      <c r="G177" s="63" t="s">
        <v>966</v>
      </c>
    </row>
    <row r="178" spans="7:7" ht="15.75" customHeight="1" x14ac:dyDescent="0.25">
      <c r="G178" s="63" t="s">
        <v>967</v>
      </c>
    </row>
    <row r="179" spans="7:7" ht="15.75" customHeight="1" x14ac:dyDescent="0.25">
      <c r="G179" s="63" t="s">
        <v>968</v>
      </c>
    </row>
    <row r="180" spans="7:7" ht="15.75" customHeight="1" x14ac:dyDescent="0.25">
      <c r="G180" s="63" t="s">
        <v>969</v>
      </c>
    </row>
    <row r="181" spans="7:7" ht="15.75" customHeight="1" x14ac:dyDescent="0.25">
      <c r="G181" s="63" t="s">
        <v>970</v>
      </c>
    </row>
    <row r="182" spans="7:7" ht="15.75" customHeight="1" x14ac:dyDescent="0.25">
      <c r="G182" s="63" t="s">
        <v>971</v>
      </c>
    </row>
    <row r="183" spans="7:7" ht="15.75" customHeight="1" x14ac:dyDescent="0.25">
      <c r="G183" s="63" t="s">
        <v>972</v>
      </c>
    </row>
    <row r="184" spans="7:7" ht="15.75" customHeight="1" x14ac:dyDescent="0.25">
      <c r="G184" s="63" t="s">
        <v>973</v>
      </c>
    </row>
    <row r="185" spans="7:7" ht="15.75" customHeight="1" x14ac:dyDescent="0.25">
      <c r="G185" s="63" t="s">
        <v>974</v>
      </c>
    </row>
    <row r="186" spans="7:7" ht="15.75" customHeight="1" x14ac:dyDescent="0.25">
      <c r="G186" s="63" t="s">
        <v>975</v>
      </c>
    </row>
    <row r="187" spans="7:7" ht="15.75" customHeight="1" x14ac:dyDescent="0.25">
      <c r="G187" s="63" t="s">
        <v>976</v>
      </c>
    </row>
    <row r="188" spans="7:7" ht="15.75" customHeight="1" x14ac:dyDescent="0.25">
      <c r="G188" s="63" t="s">
        <v>977</v>
      </c>
    </row>
    <row r="189" spans="7:7" ht="15.75" customHeight="1" x14ac:dyDescent="0.25">
      <c r="G189" s="63" t="s">
        <v>978</v>
      </c>
    </row>
    <row r="190" spans="7:7" ht="15.75" customHeight="1" x14ac:dyDescent="0.25">
      <c r="G190" s="63" t="s">
        <v>979</v>
      </c>
    </row>
    <row r="191" spans="7:7" ht="15.75" customHeight="1" x14ac:dyDescent="0.25">
      <c r="G191" s="63" t="s">
        <v>980</v>
      </c>
    </row>
    <row r="192" spans="7:7" ht="15.75" customHeight="1" x14ac:dyDescent="0.25">
      <c r="G192" s="63" t="s">
        <v>981</v>
      </c>
    </row>
    <row r="193" spans="7:12" ht="15.75" customHeight="1" x14ac:dyDescent="0.25">
      <c r="G193" s="63" t="s">
        <v>982</v>
      </c>
    </row>
    <row r="194" spans="7:12" ht="15.75" customHeight="1" x14ac:dyDescent="0.25">
      <c r="G194" s="63" t="s">
        <v>983</v>
      </c>
    </row>
    <row r="195" spans="7:12" ht="15.75" customHeight="1" x14ac:dyDescent="0.25">
      <c r="G195" s="63" t="s">
        <v>984</v>
      </c>
    </row>
    <row r="196" spans="7:12" ht="15.75" customHeight="1" x14ac:dyDescent="0.25">
      <c r="G196" s="63"/>
    </row>
    <row r="197" spans="7:12" ht="15.75" customHeight="1" x14ac:dyDescent="0.25">
      <c r="G197" s="63" t="s">
        <v>985</v>
      </c>
    </row>
    <row r="198" spans="7:12" ht="15.75" customHeight="1" x14ac:dyDescent="0.25">
      <c r="G198" s="63" t="s">
        <v>986</v>
      </c>
    </row>
    <row r="199" spans="7:12" ht="15.75" customHeight="1" x14ac:dyDescent="0.25">
      <c r="G199" s="63"/>
    </row>
    <row r="200" spans="7:12" ht="15.75" customHeight="1" x14ac:dyDescent="0.25">
      <c r="G200" s="63" t="s">
        <v>987</v>
      </c>
    </row>
    <row r="201" spans="7:12" ht="15.75" customHeight="1" x14ac:dyDescent="0.25">
      <c r="G201" s="63" t="s">
        <v>988</v>
      </c>
    </row>
    <row r="202" spans="7:12" ht="15.75" customHeight="1" x14ac:dyDescent="0.25">
      <c r="G202" s="63" t="s">
        <v>989</v>
      </c>
    </row>
    <row r="203" spans="7:12" ht="15.75" customHeight="1" x14ac:dyDescent="0.25">
      <c r="G203" s="65" t="s">
        <v>990</v>
      </c>
      <c r="H203" s="66"/>
      <c r="I203" s="66"/>
      <c r="J203" s="66"/>
      <c r="K203" s="66"/>
      <c r="L203" s="66"/>
    </row>
    <row r="204" spans="7:12" ht="15.75" customHeight="1" x14ac:dyDescent="0.25">
      <c r="G204" s="65" t="s">
        <v>991</v>
      </c>
      <c r="H204" s="66"/>
      <c r="I204" s="66"/>
      <c r="J204" s="66"/>
      <c r="K204" s="66"/>
      <c r="L204" s="66"/>
    </row>
    <row r="205" spans="7:12" ht="15.75" customHeight="1" x14ac:dyDescent="0.25">
      <c r="G205" s="65" t="s">
        <v>992</v>
      </c>
      <c r="H205" s="66"/>
      <c r="I205" s="66"/>
      <c r="J205" s="66"/>
      <c r="K205" s="66"/>
      <c r="L205" s="66"/>
    </row>
    <row r="206" spans="7:12" ht="15.75" customHeight="1" x14ac:dyDescent="0.25">
      <c r="G206" s="65" t="s">
        <v>993</v>
      </c>
      <c r="H206" s="66"/>
      <c r="I206" s="66"/>
      <c r="J206" s="66"/>
      <c r="K206" s="66"/>
      <c r="L206" s="66"/>
    </row>
    <row r="207" spans="7:12" ht="15.75" customHeight="1" x14ac:dyDescent="0.25">
      <c r="G207" s="65" t="s">
        <v>994</v>
      </c>
      <c r="H207" s="66"/>
      <c r="I207" s="66"/>
      <c r="J207" s="66"/>
      <c r="K207" s="66"/>
      <c r="L207" s="66"/>
    </row>
    <row r="208" spans="7:12" ht="15.75" customHeight="1" x14ac:dyDescent="0.25">
      <c r="G208" s="65" t="s">
        <v>995</v>
      </c>
      <c r="H208" s="66"/>
      <c r="I208" s="66"/>
      <c r="J208" s="66"/>
      <c r="K208" s="66"/>
      <c r="L208" s="66"/>
    </row>
    <row r="209" spans="7:12" ht="15.75" customHeight="1" x14ac:dyDescent="0.25">
      <c r="G209" s="65" t="s">
        <v>996</v>
      </c>
      <c r="H209" s="66"/>
      <c r="I209" s="66"/>
      <c r="J209" s="66"/>
      <c r="K209" s="66"/>
      <c r="L209" s="66"/>
    </row>
    <row r="210" spans="7:12" ht="15.75" customHeight="1" x14ac:dyDescent="0.25">
      <c r="G210" s="65" t="s">
        <v>997</v>
      </c>
      <c r="H210" s="66"/>
      <c r="I210" s="66"/>
      <c r="J210" s="66"/>
      <c r="K210" s="66"/>
      <c r="L210" s="66"/>
    </row>
    <row r="211" spans="7:12" ht="15.75" customHeight="1" x14ac:dyDescent="0.25">
      <c r="G211" s="65" t="s">
        <v>998</v>
      </c>
      <c r="H211" s="66"/>
      <c r="I211" s="66"/>
      <c r="J211" s="66"/>
      <c r="K211" s="66"/>
      <c r="L211" s="66"/>
    </row>
    <row r="212" spans="7:12" ht="15.75" customHeight="1" x14ac:dyDescent="0.25">
      <c r="G212" s="65" t="s">
        <v>999</v>
      </c>
      <c r="H212" s="66"/>
      <c r="I212" s="66"/>
      <c r="J212" s="66"/>
      <c r="K212" s="66"/>
      <c r="L212" s="66"/>
    </row>
    <row r="213" spans="7:12" ht="15.75" customHeight="1" x14ac:dyDescent="0.25">
      <c r="G213" s="65" t="s">
        <v>1000</v>
      </c>
      <c r="H213" s="66"/>
      <c r="I213" s="66"/>
      <c r="J213" s="66"/>
      <c r="K213" s="66"/>
      <c r="L213" s="66"/>
    </row>
    <row r="214" spans="7:12" ht="15.75" customHeight="1" x14ac:dyDescent="0.25">
      <c r="G214" s="65" t="s">
        <v>1001</v>
      </c>
      <c r="H214" s="66"/>
      <c r="I214" s="66"/>
      <c r="J214" s="66"/>
      <c r="K214" s="66"/>
      <c r="L214" s="66"/>
    </row>
    <row r="215" spans="7:12" ht="15.75" customHeight="1" x14ac:dyDescent="0.25">
      <c r="G215" s="65" t="s">
        <v>1002</v>
      </c>
      <c r="H215" s="66"/>
      <c r="I215" s="66"/>
      <c r="J215" s="66"/>
      <c r="K215" s="66"/>
      <c r="L215" s="66"/>
    </row>
    <row r="216" spans="7:12" ht="15.75" customHeight="1" x14ac:dyDescent="0.25">
      <c r="G216" s="65" t="s">
        <v>1003</v>
      </c>
      <c r="H216" s="66"/>
      <c r="I216" s="66"/>
      <c r="J216" s="66"/>
      <c r="K216" s="66"/>
      <c r="L216" s="66"/>
    </row>
    <row r="217" spans="7:12" ht="15.75" customHeight="1" x14ac:dyDescent="0.25">
      <c r="G217" s="65" t="s">
        <v>1004</v>
      </c>
      <c r="H217" s="66"/>
      <c r="I217" s="66"/>
      <c r="J217" s="66"/>
      <c r="K217" s="66"/>
      <c r="L217" s="66"/>
    </row>
    <row r="218" spans="7:12" ht="15.75" customHeight="1" x14ac:dyDescent="0.25">
      <c r="G218" s="65" t="s">
        <v>1005</v>
      </c>
      <c r="H218" s="66"/>
      <c r="I218" s="66"/>
      <c r="J218" s="66"/>
      <c r="K218" s="66"/>
      <c r="L218" s="66"/>
    </row>
    <row r="219" spans="7:12" ht="15.75" customHeight="1" x14ac:dyDescent="0.25">
      <c r="G219" s="65" t="s">
        <v>1006</v>
      </c>
      <c r="H219" s="66"/>
      <c r="I219" s="66"/>
      <c r="J219" s="66"/>
      <c r="K219" s="66"/>
      <c r="L219" s="66"/>
    </row>
    <row r="220" spans="7:12" ht="15.75" customHeight="1" x14ac:dyDescent="0.25">
      <c r="G220" s="65" t="s">
        <v>1007</v>
      </c>
      <c r="H220" s="66"/>
      <c r="I220" s="66"/>
      <c r="J220" s="66"/>
      <c r="K220" s="66"/>
      <c r="L220" s="66"/>
    </row>
    <row r="221" spans="7:12" ht="15.75" customHeight="1" x14ac:dyDescent="0.25">
      <c r="G221" s="65" t="s">
        <v>1008</v>
      </c>
      <c r="H221" s="66"/>
      <c r="I221" s="66"/>
      <c r="J221" s="66"/>
      <c r="K221" s="66"/>
      <c r="L221" s="66"/>
    </row>
    <row r="222" spans="7:12" ht="15.75" customHeight="1" x14ac:dyDescent="0.25">
      <c r="G222" s="65" t="s">
        <v>1009</v>
      </c>
      <c r="H222" s="66"/>
      <c r="I222" s="66"/>
      <c r="J222" s="66"/>
      <c r="K222" s="66"/>
      <c r="L222" s="66"/>
    </row>
    <row r="223" spans="7:12" ht="15.75" customHeight="1" x14ac:dyDescent="0.25">
      <c r="G223" s="65" t="s">
        <v>1010</v>
      </c>
      <c r="H223" s="66"/>
      <c r="I223" s="66"/>
      <c r="J223" s="66"/>
      <c r="K223" s="66"/>
      <c r="L223" s="66"/>
    </row>
    <row r="224" spans="7:12" ht="15.75" customHeight="1" x14ac:dyDescent="0.25">
      <c r="G224" s="65" t="s">
        <v>1011</v>
      </c>
      <c r="H224" s="66"/>
      <c r="I224" s="66"/>
      <c r="J224" s="66"/>
      <c r="K224" s="66"/>
      <c r="L224" s="66"/>
    </row>
    <row r="225" spans="7:12" ht="15.75" customHeight="1" x14ac:dyDescent="0.25">
      <c r="G225" s="65" t="s">
        <v>1012</v>
      </c>
      <c r="H225" s="66"/>
      <c r="I225" s="66"/>
      <c r="J225" s="66"/>
      <c r="K225" s="66"/>
      <c r="L225" s="66"/>
    </row>
    <row r="226" spans="7:12" ht="15.75" customHeight="1" x14ac:dyDescent="0.25">
      <c r="G226" s="65" t="s">
        <v>1013</v>
      </c>
      <c r="H226" s="66"/>
      <c r="I226" s="66"/>
      <c r="J226" s="66"/>
      <c r="K226" s="66"/>
      <c r="L226" s="66"/>
    </row>
    <row r="227" spans="7:12" ht="15.75" customHeight="1" x14ac:dyDescent="0.25">
      <c r="G227" s="65" t="s">
        <v>1014</v>
      </c>
      <c r="H227" s="66"/>
      <c r="I227" s="66"/>
      <c r="J227" s="66"/>
      <c r="K227" s="66"/>
      <c r="L227" s="66"/>
    </row>
    <row r="228" spans="7:12" ht="15.75" customHeight="1" x14ac:dyDescent="0.25">
      <c r="G228" s="65" t="s">
        <v>1015</v>
      </c>
      <c r="H228" s="66"/>
      <c r="I228" s="66"/>
      <c r="J228" s="66"/>
      <c r="K228" s="66"/>
      <c r="L228" s="66"/>
    </row>
    <row r="229" spans="7:12" ht="15.75" customHeight="1" x14ac:dyDescent="0.25">
      <c r="G229" s="65" t="s">
        <v>1016</v>
      </c>
      <c r="H229" s="66"/>
      <c r="I229" s="66"/>
      <c r="J229" s="66"/>
      <c r="K229" s="66"/>
      <c r="L229" s="66"/>
    </row>
    <row r="230" spans="7:12" ht="15.75" customHeight="1" x14ac:dyDescent="0.25">
      <c r="G230" s="65" t="s">
        <v>1017</v>
      </c>
      <c r="H230" s="66"/>
      <c r="I230" s="66"/>
      <c r="J230" s="66"/>
      <c r="K230" s="66"/>
      <c r="L230" s="66"/>
    </row>
    <row r="231" spans="7:12" ht="15.75" customHeight="1" x14ac:dyDescent="0.25">
      <c r="G231" s="65" t="s">
        <v>1018</v>
      </c>
      <c r="H231" s="66"/>
      <c r="I231" s="66"/>
      <c r="J231" s="66"/>
      <c r="K231" s="66"/>
      <c r="L231" s="66"/>
    </row>
    <row r="232" spans="7:12" ht="15.75" customHeight="1" x14ac:dyDescent="0.25">
      <c r="G232" s="65" t="s">
        <v>1019</v>
      </c>
      <c r="H232" s="66"/>
      <c r="I232" s="66"/>
      <c r="J232" s="66"/>
      <c r="K232" s="66"/>
      <c r="L232" s="66"/>
    </row>
    <row r="233" spans="7:12" ht="15.75" customHeight="1" x14ac:dyDescent="0.25">
      <c r="G233" s="65" t="s">
        <v>1020</v>
      </c>
      <c r="H233" s="66"/>
      <c r="I233" s="66"/>
      <c r="J233" s="66"/>
      <c r="K233" s="66"/>
      <c r="L233" s="66"/>
    </row>
    <row r="234" spans="7:12" ht="15.75" customHeight="1" x14ac:dyDescent="0.25">
      <c r="G234" s="65" t="s">
        <v>1021</v>
      </c>
      <c r="H234" s="66"/>
      <c r="I234" s="66"/>
      <c r="J234" s="66"/>
      <c r="K234" s="66"/>
      <c r="L234" s="66"/>
    </row>
    <row r="235" spans="7:12" ht="15.75" customHeight="1" x14ac:dyDescent="0.25">
      <c r="G235" s="65" t="s">
        <v>1022</v>
      </c>
      <c r="H235" s="66"/>
      <c r="I235" s="66"/>
      <c r="J235" s="66"/>
      <c r="K235" s="66"/>
      <c r="L235" s="66"/>
    </row>
    <row r="236" spans="7:12" ht="15.75" customHeight="1" x14ac:dyDescent="0.25">
      <c r="G236" s="65" t="s">
        <v>1023</v>
      </c>
      <c r="H236" s="66"/>
      <c r="I236" s="66"/>
      <c r="J236" s="66"/>
      <c r="K236" s="66"/>
      <c r="L236" s="66"/>
    </row>
    <row r="237" spans="7:12" ht="15.75" customHeight="1" x14ac:dyDescent="0.25">
      <c r="G237" s="65" t="s">
        <v>1024</v>
      </c>
      <c r="H237" s="66"/>
      <c r="I237" s="66"/>
      <c r="J237" s="66"/>
      <c r="K237" s="66"/>
      <c r="L237" s="66"/>
    </row>
    <row r="238" spans="7:12" ht="15.75" customHeight="1" x14ac:dyDescent="0.25">
      <c r="G238" s="65" t="s">
        <v>1025</v>
      </c>
      <c r="H238" s="66"/>
      <c r="I238" s="66"/>
      <c r="J238" s="66"/>
      <c r="K238" s="66"/>
      <c r="L238" s="66"/>
    </row>
    <row r="239" spans="7:12" ht="15.75" customHeight="1" x14ac:dyDescent="0.25">
      <c r="G239" s="65" t="s">
        <v>1026</v>
      </c>
      <c r="H239" s="66"/>
      <c r="I239" s="66"/>
      <c r="J239" s="66"/>
      <c r="K239" s="66"/>
      <c r="L239" s="66"/>
    </row>
    <row r="240" spans="7:12" ht="15.75" customHeight="1" x14ac:dyDescent="0.25">
      <c r="G240" s="65" t="s">
        <v>1027</v>
      </c>
      <c r="H240" s="66"/>
      <c r="I240" s="66"/>
      <c r="J240" s="66"/>
      <c r="K240" s="66"/>
      <c r="L240" s="66"/>
    </row>
    <row r="241" spans="7:12" ht="15.75" customHeight="1" x14ac:dyDescent="0.25">
      <c r="G241" s="65" t="s">
        <v>1028</v>
      </c>
      <c r="H241" s="66"/>
      <c r="I241" s="66"/>
      <c r="J241" s="66"/>
      <c r="K241" s="66"/>
      <c r="L241" s="66"/>
    </row>
    <row r="242" spans="7:12" ht="15.75" customHeight="1" x14ac:dyDescent="0.25">
      <c r="G242" s="65" t="s">
        <v>1029</v>
      </c>
      <c r="H242" s="66"/>
      <c r="I242" s="66"/>
      <c r="J242" s="66"/>
      <c r="K242" s="66"/>
      <c r="L242" s="66"/>
    </row>
    <row r="243" spans="7:12" ht="15.75" customHeight="1" x14ac:dyDescent="0.25">
      <c r="G243" s="65" t="s">
        <v>1030</v>
      </c>
      <c r="H243" s="66"/>
      <c r="I243" s="66"/>
      <c r="J243" s="66"/>
      <c r="K243" s="66"/>
      <c r="L243" s="66"/>
    </row>
    <row r="244" spans="7:12" ht="15.75" customHeight="1" x14ac:dyDescent="0.25">
      <c r="G244" s="65" t="s">
        <v>1031</v>
      </c>
      <c r="H244" s="66"/>
      <c r="I244" s="66"/>
      <c r="J244" s="66"/>
      <c r="K244" s="66"/>
      <c r="L244" s="66"/>
    </row>
    <row r="245" spans="7:12" ht="15.75" customHeight="1" x14ac:dyDescent="0.25">
      <c r="G245" s="65" t="s">
        <v>1032</v>
      </c>
      <c r="H245" s="66"/>
      <c r="I245" s="66"/>
      <c r="J245" s="66"/>
      <c r="K245" s="66"/>
      <c r="L245" s="66"/>
    </row>
    <row r="246" spans="7:12" ht="15.75" customHeight="1" x14ac:dyDescent="0.25">
      <c r="G246" s="65" t="s">
        <v>1033</v>
      </c>
      <c r="H246" s="66"/>
      <c r="I246" s="66"/>
      <c r="J246" s="66"/>
      <c r="K246" s="66"/>
      <c r="L246" s="66"/>
    </row>
    <row r="247" spans="7:12" ht="15.75" customHeight="1" x14ac:dyDescent="0.25">
      <c r="G247" s="65" t="s">
        <v>1034</v>
      </c>
      <c r="H247" s="66"/>
      <c r="I247" s="66"/>
      <c r="J247" s="66"/>
      <c r="K247" s="66"/>
      <c r="L247" s="66"/>
    </row>
    <row r="248" spans="7:12" ht="15.75" customHeight="1" x14ac:dyDescent="0.25">
      <c r="G248" s="65" t="s">
        <v>1035</v>
      </c>
      <c r="H248" s="66"/>
      <c r="I248" s="66"/>
      <c r="J248" s="66"/>
      <c r="K248" s="66"/>
      <c r="L248" s="66"/>
    </row>
    <row r="249" spans="7:12" ht="15.75" customHeight="1" x14ac:dyDescent="0.25">
      <c r="G249" s="65" t="s">
        <v>1036</v>
      </c>
      <c r="H249" s="66"/>
      <c r="I249" s="66"/>
      <c r="J249" s="66"/>
      <c r="K249" s="66"/>
      <c r="L249" s="66"/>
    </row>
    <row r="250" spans="7:12" ht="15.75" customHeight="1" x14ac:dyDescent="0.25">
      <c r="G250" s="65" t="s">
        <v>1037</v>
      </c>
      <c r="H250" s="66"/>
      <c r="I250" s="66"/>
      <c r="J250" s="66"/>
      <c r="K250" s="66"/>
      <c r="L250" s="66"/>
    </row>
    <row r="251" spans="7:12" ht="15.75" customHeight="1" x14ac:dyDescent="0.25">
      <c r="G251" s="65" t="s">
        <v>1038</v>
      </c>
      <c r="H251" s="66"/>
      <c r="I251" s="66"/>
      <c r="J251" s="66"/>
      <c r="K251" s="66"/>
      <c r="L251" s="66"/>
    </row>
    <row r="252" spans="7:12" ht="15.75" customHeight="1" x14ac:dyDescent="0.25">
      <c r="G252" s="65" t="s">
        <v>1039</v>
      </c>
      <c r="H252" s="66"/>
      <c r="I252" s="66"/>
      <c r="J252" s="66"/>
      <c r="K252" s="66"/>
      <c r="L252" s="66"/>
    </row>
    <row r="253" spans="7:12" ht="15.75" customHeight="1" x14ac:dyDescent="0.25">
      <c r="G253" s="65" t="s">
        <v>1040</v>
      </c>
      <c r="H253" s="66"/>
      <c r="I253" s="66"/>
      <c r="J253" s="66"/>
      <c r="K253" s="66"/>
      <c r="L253" s="66"/>
    </row>
    <row r="254" spans="7:12" ht="15.75" customHeight="1" x14ac:dyDescent="0.25">
      <c r="G254" s="65" t="s">
        <v>1041</v>
      </c>
      <c r="H254" s="66"/>
      <c r="I254" s="66"/>
      <c r="J254" s="66"/>
      <c r="K254" s="66"/>
      <c r="L254" s="66"/>
    </row>
    <row r="255" spans="7:12" ht="15.75" customHeight="1" x14ac:dyDescent="0.25">
      <c r="G255" s="65" t="s">
        <v>1042</v>
      </c>
      <c r="H255" s="66"/>
      <c r="I255" s="66"/>
      <c r="J255" s="66"/>
      <c r="K255" s="66"/>
      <c r="L255" s="66"/>
    </row>
    <row r="256" spans="7:12" ht="15.75" customHeight="1" x14ac:dyDescent="0.25">
      <c r="G256" s="65" t="s">
        <v>1043</v>
      </c>
      <c r="H256" s="66"/>
      <c r="I256" s="66"/>
      <c r="J256" s="66"/>
      <c r="K256" s="66"/>
      <c r="L256" s="66"/>
    </row>
    <row r="257" spans="7:12" ht="15.75" customHeight="1" x14ac:dyDescent="0.25">
      <c r="G257" s="65" t="s">
        <v>1044</v>
      </c>
      <c r="H257" s="66"/>
      <c r="I257" s="66"/>
      <c r="J257" s="66"/>
      <c r="K257" s="66"/>
      <c r="L257" s="66"/>
    </row>
    <row r="258" spans="7:12" ht="15.75" customHeight="1" x14ac:dyDescent="0.25">
      <c r="G258" s="65" t="s">
        <v>1045</v>
      </c>
      <c r="H258" s="66"/>
      <c r="I258" s="66"/>
      <c r="J258" s="66"/>
      <c r="K258" s="66"/>
      <c r="L258" s="66"/>
    </row>
    <row r="259" spans="7:12" ht="15.75" customHeight="1" x14ac:dyDescent="0.25">
      <c r="G259" s="65" t="s">
        <v>1046</v>
      </c>
      <c r="H259" s="66"/>
      <c r="I259" s="66"/>
      <c r="J259" s="66"/>
      <c r="K259" s="66"/>
      <c r="L259" s="66"/>
    </row>
    <row r="260" spans="7:12" ht="15.75" customHeight="1" x14ac:dyDescent="0.25">
      <c r="G260" s="65" t="s">
        <v>1047</v>
      </c>
      <c r="H260" s="66"/>
      <c r="I260" s="66"/>
      <c r="J260" s="66"/>
      <c r="K260" s="66"/>
      <c r="L260" s="66"/>
    </row>
    <row r="261" spans="7:12" ht="15.75" customHeight="1" x14ac:dyDescent="0.25">
      <c r="G261" s="65" t="s">
        <v>1048</v>
      </c>
      <c r="H261" s="66"/>
      <c r="I261" s="66"/>
      <c r="J261" s="66"/>
      <c r="K261" s="66"/>
      <c r="L261" s="66"/>
    </row>
    <row r="262" spans="7:12" ht="15.75" customHeight="1" x14ac:dyDescent="0.25">
      <c r="G262" s="65" t="s">
        <v>1049</v>
      </c>
      <c r="H262" s="66"/>
      <c r="I262" s="66"/>
      <c r="J262" s="66"/>
      <c r="K262" s="66"/>
      <c r="L262" s="66"/>
    </row>
    <row r="263" spans="7:12" ht="15.75" customHeight="1" x14ac:dyDescent="0.25">
      <c r="G263" s="65" t="s">
        <v>1050</v>
      </c>
      <c r="H263" s="66"/>
      <c r="I263" s="66"/>
      <c r="J263" s="66"/>
      <c r="K263" s="66"/>
      <c r="L263" s="66"/>
    </row>
    <row r="264" spans="7:12" ht="15.75" customHeight="1" x14ac:dyDescent="0.25">
      <c r="G264" s="65" t="s">
        <v>1051</v>
      </c>
      <c r="H264" s="66"/>
      <c r="I264" s="66"/>
      <c r="J264" s="66"/>
      <c r="K264" s="66"/>
      <c r="L264" s="66"/>
    </row>
    <row r="265" spans="7:12" ht="15.75" customHeight="1" x14ac:dyDescent="0.25">
      <c r="G265" s="65" t="s">
        <v>1052</v>
      </c>
      <c r="H265" s="66"/>
      <c r="I265" s="66"/>
      <c r="J265" s="66"/>
      <c r="K265" s="66"/>
      <c r="L265" s="66"/>
    </row>
    <row r="266" spans="7:12" ht="15.75" customHeight="1" x14ac:dyDescent="0.25">
      <c r="G266" s="65" t="s">
        <v>1053</v>
      </c>
      <c r="H266" s="66"/>
      <c r="I266" s="66"/>
      <c r="J266" s="66"/>
      <c r="K266" s="66"/>
      <c r="L266" s="66"/>
    </row>
    <row r="267" spans="7:12" ht="15.75" customHeight="1" x14ac:dyDescent="0.25">
      <c r="G267" s="65" t="s">
        <v>1054</v>
      </c>
      <c r="H267" s="66"/>
      <c r="I267" s="66"/>
      <c r="J267" s="66"/>
      <c r="K267" s="66"/>
      <c r="L267" s="66"/>
    </row>
    <row r="268" spans="7:12" ht="15.75" customHeight="1" x14ac:dyDescent="0.25">
      <c r="G268" s="65" t="s">
        <v>1055</v>
      </c>
      <c r="H268" s="66"/>
      <c r="I268" s="66"/>
      <c r="J268" s="66"/>
      <c r="K268" s="66"/>
      <c r="L268" s="66"/>
    </row>
    <row r="269" spans="7:12" ht="15.75" customHeight="1" x14ac:dyDescent="0.25">
      <c r="G269" s="65" t="s">
        <v>1056</v>
      </c>
      <c r="H269" s="66"/>
      <c r="I269" s="66"/>
      <c r="J269" s="66"/>
      <c r="K269" s="66"/>
      <c r="L269" s="66"/>
    </row>
    <row r="270" spans="7:12" ht="15.75" customHeight="1" x14ac:dyDescent="0.25">
      <c r="G270" s="65" t="s">
        <v>1057</v>
      </c>
      <c r="H270" s="66"/>
      <c r="I270" s="66"/>
      <c r="J270" s="66"/>
      <c r="K270" s="66"/>
      <c r="L270" s="66"/>
    </row>
    <row r="271" spans="7:12" ht="15.75" customHeight="1" x14ac:dyDescent="0.25">
      <c r="G271" s="65" t="s">
        <v>1058</v>
      </c>
      <c r="H271" s="66"/>
      <c r="I271" s="66"/>
      <c r="J271" s="66"/>
      <c r="K271" s="66"/>
      <c r="L271" s="66"/>
    </row>
    <row r="272" spans="7:12" ht="15.75" customHeight="1" x14ac:dyDescent="0.25">
      <c r="G272" s="65" t="s">
        <v>1059</v>
      </c>
      <c r="H272" s="66"/>
      <c r="I272" s="66"/>
      <c r="J272" s="66"/>
      <c r="K272" s="66"/>
      <c r="L272" s="66"/>
    </row>
    <row r="273" spans="7:12" ht="15.75" customHeight="1" x14ac:dyDescent="0.25">
      <c r="G273" s="65" t="s">
        <v>1060</v>
      </c>
      <c r="H273" s="66"/>
      <c r="I273" s="66"/>
      <c r="J273" s="66"/>
      <c r="K273" s="66"/>
      <c r="L273" s="66"/>
    </row>
    <row r="274" spans="7:12" ht="15.75" customHeight="1" x14ac:dyDescent="0.25">
      <c r="G274" s="65" t="s">
        <v>1061</v>
      </c>
      <c r="H274" s="66"/>
      <c r="I274" s="66"/>
      <c r="J274" s="66"/>
      <c r="K274" s="66"/>
      <c r="L274" s="66"/>
    </row>
    <row r="275" spans="7:12" ht="15.75" customHeight="1" x14ac:dyDescent="0.25">
      <c r="G275" s="65" t="s">
        <v>1062</v>
      </c>
      <c r="H275" s="66"/>
      <c r="I275" s="66"/>
      <c r="J275" s="66"/>
      <c r="K275" s="66"/>
      <c r="L275" s="66"/>
    </row>
    <row r="276" spans="7:12" ht="15.75" customHeight="1" x14ac:dyDescent="0.25">
      <c r="G276" s="65" t="s">
        <v>1063</v>
      </c>
      <c r="H276" s="66"/>
      <c r="I276" s="66"/>
      <c r="J276" s="66"/>
      <c r="K276" s="66"/>
      <c r="L276" s="66"/>
    </row>
    <row r="277" spans="7:12" ht="15.75" customHeight="1" x14ac:dyDescent="0.25">
      <c r="G277" s="65" t="s">
        <v>1064</v>
      </c>
      <c r="H277" s="66"/>
      <c r="I277" s="66"/>
      <c r="J277" s="66"/>
      <c r="K277" s="66"/>
      <c r="L277" s="66"/>
    </row>
    <row r="278" spans="7:12" ht="15.75" customHeight="1" x14ac:dyDescent="0.25">
      <c r="G278" s="65" t="s">
        <v>1065</v>
      </c>
      <c r="H278" s="66"/>
      <c r="I278" s="66"/>
      <c r="J278" s="66"/>
      <c r="K278" s="66"/>
      <c r="L278" s="66"/>
    </row>
    <row r="279" spans="7:12" ht="15.75" customHeight="1" x14ac:dyDescent="0.25">
      <c r="G279" s="65" t="s">
        <v>1066</v>
      </c>
      <c r="H279" s="66"/>
      <c r="I279" s="66"/>
      <c r="J279" s="66"/>
      <c r="K279" s="66"/>
      <c r="L279" s="66"/>
    </row>
    <row r="280" spans="7:12" ht="15.75" customHeight="1" x14ac:dyDescent="0.25">
      <c r="G280" s="65" t="s">
        <v>1067</v>
      </c>
      <c r="H280" s="66"/>
      <c r="I280" s="66"/>
      <c r="J280" s="66"/>
      <c r="K280" s="66"/>
      <c r="L280" s="66"/>
    </row>
    <row r="281" spans="7:12" ht="15.75" customHeight="1" x14ac:dyDescent="0.25">
      <c r="G281" s="65" t="s">
        <v>1068</v>
      </c>
      <c r="H281" s="66"/>
      <c r="I281" s="66"/>
      <c r="J281" s="66"/>
      <c r="K281" s="66"/>
      <c r="L281" s="66"/>
    </row>
    <row r="282" spans="7:12" ht="15.75" customHeight="1" x14ac:dyDescent="0.25">
      <c r="G282" s="65" t="s">
        <v>1069</v>
      </c>
      <c r="H282" s="66"/>
      <c r="I282" s="66"/>
      <c r="J282" s="66"/>
      <c r="K282" s="66"/>
      <c r="L282" s="66"/>
    </row>
    <row r="283" spans="7:12" ht="15.75" customHeight="1" x14ac:dyDescent="0.25">
      <c r="G283" s="65" t="s">
        <v>1070</v>
      </c>
      <c r="H283" s="66"/>
      <c r="I283" s="66"/>
      <c r="J283" s="66"/>
      <c r="K283" s="66"/>
      <c r="L283" s="66"/>
    </row>
    <row r="284" spans="7:12" ht="15.75" customHeight="1" x14ac:dyDescent="0.25">
      <c r="G284" s="65" t="s">
        <v>1071</v>
      </c>
      <c r="H284" s="66"/>
      <c r="I284" s="66"/>
      <c r="J284" s="66"/>
      <c r="K284" s="66"/>
      <c r="L284" s="66"/>
    </row>
    <row r="285" spans="7:12" ht="15.75" customHeight="1" x14ac:dyDescent="0.25">
      <c r="G285" s="65" t="s">
        <v>1072</v>
      </c>
      <c r="H285" s="66"/>
      <c r="I285" s="66"/>
      <c r="J285" s="66"/>
      <c r="K285" s="66"/>
      <c r="L285" s="66"/>
    </row>
    <row r="286" spans="7:12" ht="15.75" customHeight="1" x14ac:dyDescent="0.25">
      <c r="G286" s="65" t="s">
        <v>1073</v>
      </c>
      <c r="H286" s="66"/>
      <c r="I286" s="66"/>
      <c r="J286" s="66"/>
      <c r="K286" s="66"/>
      <c r="L286" s="66"/>
    </row>
    <row r="287" spans="7:12" ht="15.75" customHeight="1" x14ac:dyDescent="0.25">
      <c r="G287" s="65" t="s">
        <v>1074</v>
      </c>
      <c r="H287" s="66"/>
      <c r="I287" s="66"/>
      <c r="J287" s="66"/>
      <c r="K287" s="66"/>
      <c r="L287" s="66"/>
    </row>
    <row r="288" spans="7:12" ht="15.75" customHeight="1" x14ac:dyDescent="0.25">
      <c r="G288" s="65" t="s">
        <v>1075</v>
      </c>
      <c r="H288" s="66"/>
      <c r="I288" s="66"/>
      <c r="J288" s="66"/>
      <c r="K288" s="66"/>
      <c r="L288" s="66"/>
    </row>
    <row r="289" spans="7:12" ht="15.75" customHeight="1" x14ac:dyDescent="0.25">
      <c r="G289" s="65" t="s">
        <v>1076</v>
      </c>
      <c r="H289" s="66"/>
      <c r="I289" s="66"/>
      <c r="J289" s="66"/>
      <c r="K289" s="66"/>
      <c r="L289" s="66"/>
    </row>
    <row r="290" spans="7:12" ht="15.75" customHeight="1" x14ac:dyDescent="0.25">
      <c r="G290" s="65" t="s">
        <v>1077</v>
      </c>
      <c r="H290" s="66"/>
      <c r="I290" s="66"/>
      <c r="J290" s="66"/>
      <c r="K290" s="66"/>
      <c r="L290" s="66"/>
    </row>
    <row r="291" spans="7:12" ht="15.75" customHeight="1" x14ac:dyDescent="0.25">
      <c r="G291" s="63" t="s">
        <v>1078</v>
      </c>
    </row>
    <row r="292" spans="7:12" ht="15.75" customHeight="1" x14ac:dyDescent="0.25">
      <c r="G292" s="63" t="s">
        <v>1079</v>
      </c>
    </row>
    <row r="293" spans="7:12" ht="15.75" customHeight="1" x14ac:dyDescent="0.25">
      <c r="G293" s="63" t="s">
        <v>1080</v>
      </c>
    </row>
    <row r="294" spans="7:12" ht="15.75" customHeight="1" x14ac:dyDescent="0.25">
      <c r="G294" s="63" t="s">
        <v>1081</v>
      </c>
    </row>
    <row r="295" spans="7:12" ht="15.75" customHeight="1" x14ac:dyDescent="0.25">
      <c r="G295" s="63" t="s">
        <v>1082</v>
      </c>
    </row>
    <row r="296" spans="7:12" ht="15.75" customHeight="1" x14ac:dyDescent="0.25">
      <c r="G296" s="63" t="s">
        <v>1083</v>
      </c>
    </row>
    <row r="297" spans="7:12" ht="15.75" customHeight="1" x14ac:dyDescent="0.25">
      <c r="G297" s="63" t="s">
        <v>1084</v>
      </c>
    </row>
    <row r="298" spans="7:12" ht="15.75" customHeight="1" x14ac:dyDescent="0.25">
      <c r="G298" s="63" t="s">
        <v>1085</v>
      </c>
    </row>
    <row r="299" spans="7:12" ht="15.75" customHeight="1" x14ac:dyDescent="0.25">
      <c r="G299" s="63" t="s">
        <v>1086</v>
      </c>
    </row>
    <row r="300" spans="7:12" ht="15.75" customHeight="1" x14ac:dyDescent="0.25">
      <c r="G300" s="63" t="s">
        <v>1087</v>
      </c>
    </row>
    <row r="301" spans="7:12" ht="15.75" customHeight="1" x14ac:dyDescent="0.25">
      <c r="G301" s="63" t="s">
        <v>1088</v>
      </c>
    </row>
    <row r="302" spans="7:12" ht="15.75" customHeight="1" x14ac:dyDescent="0.25">
      <c r="G302" s="63" t="s">
        <v>1089</v>
      </c>
    </row>
    <row r="303" spans="7:12" ht="15.75" customHeight="1" x14ac:dyDescent="0.25">
      <c r="G303" s="63" t="s">
        <v>1090</v>
      </c>
    </row>
    <row r="304" spans="7:12" ht="15.75" customHeight="1" x14ac:dyDescent="0.25">
      <c r="G304" s="63" t="s">
        <v>1091</v>
      </c>
    </row>
    <row r="305" spans="7:7" ht="15.75" customHeight="1" x14ac:dyDescent="0.25">
      <c r="G305" s="63" t="s">
        <v>1092</v>
      </c>
    </row>
    <row r="306" spans="7:7" ht="15.75" customHeight="1" x14ac:dyDescent="0.25">
      <c r="G306" s="63" t="s">
        <v>1093</v>
      </c>
    </row>
    <row r="307" spans="7:7" ht="15.75" customHeight="1" x14ac:dyDescent="0.25">
      <c r="G307" s="63" t="s">
        <v>1094</v>
      </c>
    </row>
    <row r="308" spans="7:7" ht="15.75" customHeight="1" x14ac:dyDescent="0.25">
      <c r="G308" s="63" t="s">
        <v>1095</v>
      </c>
    </row>
    <row r="309" spans="7:7" ht="15.75" customHeight="1" x14ac:dyDescent="0.25">
      <c r="G309" s="63" t="s">
        <v>1096</v>
      </c>
    </row>
    <row r="310" spans="7:7" ht="15.75" customHeight="1" x14ac:dyDescent="0.25">
      <c r="G310" s="63" t="s">
        <v>1097</v>
      </c>
    </row>
    <row r="311" spans="7:7" ht="15.75" customHeight="1" x14ac:dyDescent="0.25">
      <c r="G311" s="63" t="s">
        <v>1098</v>
      </c>
    </row>
    <row r="312" spans="7:7" ht="15.75" customHeight="1" x14ac:dyDescent="0.25">
      <c r="G312" s="63" t="s">
        <v>1099</v>
      </c>
    </row>
    <row r="313" spans="7:7" ht="15.75" customHeight="1" x14ac:dyDescent="0.25">
      <c r="G313" s="63" t="s">
        <v>1100</v>
      </c>
    </row>
    <row r="314" spans="7:7" ht="15.75" customHeight="1" x14ac:dyDescent="0.25">
      <c r="G314" s="63" t="s">
        <v>1101</v>
      </c>
    </row>
    <row r="315" spans="7:7" ht="15.75" customHeight="1" x14ac:dyDescent="0.25">
      <c r="G315" s="63" t="s">
        <v>1102</v>
      </c>
    </row>
    <row r="316" spans="7:7" ht="15.75" customHeight="1" x14ac:dyDescent="0.25">
      <c r="G316" s="63" t="s">
        <v>1103</v>
      </c>
    </row>
    <row r="317" spans="7:7" ht="15.75" customHeight="1" x14ac:dyDescent="0.25">
      <c r="G317" s="63" t="s">
        <v>1104</v>
      </c>
    </row>
    <row r="318" spans="7:7" ht="15.75" customHeight="1" x14ac:dyDescent="0.25">
      <c r="G318" s="63" t="s">
        <v>1105</v>
      </c>
    </row>
    <row r="319" spans="7:7" ht="15.75" customHeight="1" x14ac:dyDescent="0.25">
      <c r="G319" s="63" t="s">
        <v>1106</v>
      </c>
    </row>
    <row r="320" spans="7:7" ht="15.75" customHeight="1" x14ac:dyDescent="0.25">
      <c r="G320" s="63" t="s">
        <v>1107</v>
      </c>
    </row>
    <row r="321" spans="7:7" ht="15.75" customHeight="1" x14ac:dyDescent="0.25">
      <c r="G321" s="63" t="s">
        <v>1108</v>
      </c>
    </row>
    <row r="322" spans="7:7" ht="15.75" customHeight="1" x14ac:dyDescent="0.25">
      <c r="G322" s="63" t="s">
        <v>1109</v>
      </c>
    </row>
    <row r="323" spans="7:7" ht="15.75" customHeight="1" x14ac:dyDescent="0.25">
      <c r="G323" s="63" t="s">
        <v>1110</v>
      </c>
    </row>
    <row r="324" spans="7:7" ht="15.75" customHeight="1" x14ac:dyDescent="0.25">
      <c r="G324" s="63" t="s">
        <v>1111</v>
      </c>
    </row>
    <row r="325" spans="7:7" ht="15.75" customHeight="1" x14ac:dyDescent="0.25">
      <c r="G325" s="63" t="s">
        <v>1112</v>
      </c>
    </row>
    <row r="326" spans="7:7" ht="15.75" customHeight="1" x14ac:dyDescent="0.25">
      <c r="G326" s="63" t="s">
        <v>1113</v>
      </c>
    </row>
    <row r="327" spans="7:7" ht="15.75" customHeight="1" x14ac:dyDescent="0.25">
      <c r="G327" s="63" t="s">
        <v>1114</v>
      </c>
    </row>
    <row r="328" spans="7:7" ht="15.75" customHeight="1" x14ac:dyDescent="0.25">
      <c r="G328" s="63" t="s">
        <v>1115</v>
      </c>
    </row>
    <row r="329" spans="7:7" ht="15.75" customHeight="1" x14ac:dyDescent="0.25">
      <c r="G329" s="63" t="s">
        <v>1116</v>
      </c>
    </row>
    <row r="330" spans="7:7" ht="15.75" customHeight="1" x14ac:dyDescent="0.25">
      <c r="G330" s="63" t="s">
        <v>1117</v>
      </c>
    </row>
    <row r="331" spans="7:7" ht="15.75" customHeight="1" x14ac:dyDescent="0.25">
      <c r="G331" s="63" t="s">
        <v>1118</v>
      </c>
    </row>
    <row r="332" spans="7:7" ht="15.75" customHeight="1" x14ac:dyDescent="0.25">
      <c r="G332" s="63" t="s">
        <v>1119</v>
      </c>
    </row>
    <row r="333" spans="7:7" ht="15.75" customHeight="1" x14ac:dyDescent="0.25">
      <c r="G333" s="63" t="s">
        <v>1120</v>
      </c>
    </row>
    <row r="334" spans="7:7" ht="15.75" customHeight="1" x14ac:dyDescent="0.25">
      <c r="G334" s="63" t="s">
        <v>1121</v>
      </c>
    </row>
    <row r="335" spans="7:7" ht="15.75" customHeight="1" x14ac:dyDescent="0.25">
      <c r="G335" s="63" t="s">
        <v>1122</v>
      </c>
    </row>
    <row r="336" spans="7:7" ht="15.75" customHeight="1" x14ac:dyDescent="0.25">
      <c r="G336" s="63" t="s">
        <v>1123</v>
      </c>
    </row>
    <row r="337" spans="7:7" ht="15.75" customHeight="1" x14ac:dyDescent="0.25">
      <c r="G337" s="63" t="s">
        <v>1124</v>
      </c>
    </row>
    <row r="338" spans="7:7" ht="15.75" customHeight="1" x14ac:dyDescent="0.25">
      <c r="G338" s="63" t="s">
        <v>1125</v>
      </c>
    </row>
    <row r="339" spans="7:7" ht="15.75" customHeight="1" x14ac:dyDescent="0.25">
      <c r="G339" s="63" t="s">
        <v>1126</v>
      </c>
    </row>
    <row r="340" spans="7:7" ht="15.75" customHeight="1" x14ac:dyDescent="0.25">
      <c r="G340" s="63" t="s">
        <v>1127</v>
      </c>
    </row>
    <row r="341" spans="7:7" ht="15.75" customHeight="1" x14ac:dyDescent="0.25">
      <c r="G341" s="63" t="s">
        <v>1128</v>
      </c>
    </row>
    <row r="342" spans="7:7" ht="15.75" customHeight="1" x14ac:dyDescent="0.25">
      <c r="G342" s="63" t="s">
        <v>1129</v>
      </c>
    </row>
    <row r="343" spans="7:7" ht="15.75" customHeight="1" x14ac:dyDescent="0.25">
      <c r="G343" s="63" t="s">
        <v>1130</v>
      </c>
    </row>
    <row r="344" spans="7:7" ht="15.75" customHeight="1" x14ac:dyDescent="0.25">
      <c r="G344" s="63" t="s">
        <v>1131</v>
      </c>
    </row>
    <row r="345" spans="7:7" ht="15.75" customHeight="1" x14ac:dyDescent="0.25">
      <c r="G345" s="63" t="s">
        <v>1132</v>
      </c>
    </row>
    <row r="346" spans="7:7" ht="15.75" customHeight="1" x14ac:dyDescent="0.25">
      <c r="G346" s="63" t="s">
        <v>1133</v>
      </c>
    </row>
    <row r="347" spans="7:7" ht="15.75" customHeight="1" x14ac:dyDescent="0.25">
      <c r="G347" s="63" t="s">
        <v>1134</v>
      </c>
    </row>
    <row r="348" spans="7:7" ht="15.75" customHeight="1" x14ac:dyDescent="0.25">
      <c r="G348" s="63" t="s">
        <v>1135</v>
      </c>
    </row>
    <row r="349" spans="7:7" ht="15.75" customHeight="1" x14ac:dyDescent="0.25">
      <c r="G349" s="63" t="s">
        <v>1136</v>
      </c>
    </row>
    <row r="350" spans="7:7" ht="15.75" customHeight="1" x14ac:dyDescent="0.25">
      <c r="G350" s="63" t="s">
        <v>1137</v>
      </c>
    </row>
    <row r="351" spans="7:7" ht="15.75" customHeight="1" x14ac:dyDescent="0.25">
      <c r="G351" s="63" t="s">
        <v>1138</v>
      </c>
    </row>
    <row r="352" spans="7:7" ht="15.75" customHeight="1" x14ac:dyDescent="0.25">
      <c r="G352" s="63" t="s">
        <v>1139</v>
      </c>
    </row>
    <row r="353" spans="7:7" ht="15.75" customHeight="1" x14ac:dyDescent="0.25">
      <c r="G353" s="63" t="s">
        <v>1140</v>
      </c>
    </row>
    <row r="354" spans="7:7" ht="15.75" customHeight="1" x14ac:dyDescent="0.25">
      <c r="G354" s="63" t="s">
        <v>1141</v>
      </c>
    </row>
    <row r="355" spans="7:7" ht="15.75" customHeight="1" x14ac:dyDescent="0.25">
      <c r="G355" s="63" t="s">
        <v>1142</v>
      </c>
    </row>
    <row r="356" spans="7:7" ht="15.75" customHeight="1" x14ac:dyDescent="0.25">
      <c r="G356" s="63" t="s">
        <v>1143</v>
      </c>
    </row>
    <row r="357" spans="7:7" ht="15.75" customHeight="1" x14ac:dyDescent="0.25">
      <c r="G357" s="63" t="s">
        <v>1144</v>
      </c>
    </row>
    <row r="358" spans="7:7" ht="15.75" customHeight="1" x14ac:dyDescent="0.25">
      <c r="G358" s="63" t="s">
        <v>1145</v>
      </c>
    </row>
    <row r="359" spans="7:7" ht="15.75" customHeight="1" x14ac:dyDescent="0.25">
      <c r="G359" s="63" t="s">
        <v>1146</v>
      </c>
    </row>
    <row r="360" spans="7:7" ht="15.75" customHeight="1" x14ac:dyDescent="0.25">
      <c r="G360" s="63" t="s">
        <v>1147</v>
      </c>
    </row>
    <row r="361" spans="7:7" ht="15.75" customHeight="1" x14ac:dyDescent="0.25">
      <c r="G361" s="63" t="s">
        <v>1148</v>
      </c>
    </row>
    <row r="362" spans="7:7" ht="15.75" customHeight="1" x14ac:dyDescent="0.25">
      <c r="G362" s="63" t="s">
        <v>1149</v>
      </c>
    </row>
    <row r="363" spans="7:7" ht="15.75" customHeight="1" x14ac:dyDescent="0.25">
      <c r="G363" s="63" t="s">
        <v>1150</v>
      </c>
    </row>
    <row r="364" spans="7:7" ht="15.75" customHeight="1" x14ac:dyDescent="0.25">
      <c r="G364" s="63" t="s">
        <v>1151</v>
      </c>
    </row>
    <row r="365" spans="7:7" ht="15.75" customHeight="1" x14ac:dyDescent="0.25">
      <c r="G365" s="63" t="s">
        <v>1152</v>
      </c>
    </row>
    <row r="366" spans="7:7" ht="15.75" customHeight="1" x14ac:dyDescent="0.25">
      <c r="G366" s="63" t="s">
        <v>1153</v>
      </c>
    </row>
    <row r="367" spans="7:7" ht="15.75" customHeight="1" x14ac:dyDescent="0.25">
      <c r="G367" s="63" t="s">
        <v>1154</v>
      </c>
    </row>
    <row r="368" spans="7:7" ht="15.75" customHeight="1" x14ac:dyDescent="0.25">
      <c r="G368" s="63" t="s">
        <v>1155</v>
      </c>
    </row>
    <row r="369" spans="7:7" ht="15.75" customHeight="1" x14ac:dyDescent="0.25">
      <c r="G369" s="63" t="s">
        <v>1156</v>
      </c>
    </row>
    <row r="370" spans="7:7" ht="15.75" customHeight="1" x14ac:dyDescent="0.25">
      <c r="G370" s="63" t="s">
        <v>1157</v>
      </c>
    </row>
    <row r="371" spans="7:7" ht="15.75" customHeight="1" x14ac:dyDescent="0.25">
      <c r="G371" s="63" t="s">
        <v>1158</v>
      </c>
    </row>
    <row r="372" spans="7:7" ht="15.75" customHeight="1" x14ac:dyDescent="0.25">
      <c r="G372" s="63" t="s">
        <v>1159</v>
      </c>
    </row>
    <row r="373" spans="7:7" ht="15.75" customHeight="1" x14ac:dyDescent="0.25">
      <c r="G373" s="63" t="s">
        <v>1160</v>
      </c>
    </row>
    <row r="374" spans="7:7" ht="15.75" customHeight="1" x14ac:dyDescent="0.25">
      <c r="G374" s="63" t="s">
        <v>1161</v>
      </c>
    </row>
    <row r="375" spans="7:7" ht="15.75" customHeight="1" x14ac:dyDescent="0.25">
      <c r="G375" s="63" t="s">
        <v>1162</v>
      </c>
    </row>
    <row r="376" spans="7:7" ht="15.75" customHeight="1" x14ac:dyDescent="0.25">
      <c r="G376" s="63" t="s">
        <v>1163</v>
      </c>
    </row>
    <row r="377" spans="7:7" ht="15.75" customHeight="1" x14ac:dyDescent="0.25">
      <c r="G377" s="63" t="s">
        <v>1164</v>
      </c>
    </row>
    <row r="378" spans="7:7" ht="15.75" customHeight="1" x14ac:dyDescent="0.25">
      <c r="G378" s="63" t="s">
        <v>1165</v>
      </c>
    </row>
    <row r="379" spans="7:7" ht="15.75" customHeight="1" x14ac:dyDescent="0.25">
      <c r="G379" s="63" t="s">
        <v>1166</v>
      </c>
    </row>
    <row r="380" spans="7:7" ht="15.75" customHeight="1" x14ac:dyDescent="0.25">
      <c r="G380" s="63" t="s">
        <v>1167</v>
      </c>
    </row>
    <row r="381" spans="7:7" ht="15.75" customHeight="1" x14ac:dyDescent="0.25">
      <c r="G381" s="63" t="s">
        <v>1168</v>
      </c>
    </row>
    <row r="382" spans="7:7" ht="15.75" customHeight="1" x14ac:dyDescent="0.25">
      <c r="G382" s="63" t="s">
        <v>1169</v>
      </c>
    </row>
    <row r="383" spans="7:7" ht="15.75" customHeight="1" x14ac:dyDescent="0.25">
      <c r="G383" s="63" t="s">
        <v>1170</v>
      </c>
    </row>
    <row r="384" spans="7:7" ht="15.75" customHeight="1" x14ac:dyDescent="0.25">
      <c r="G384" s="63" t="s">
        <v>1171</v>
      </c>
    </row>
    <row r="385" spans="7:7" ht="15.75" customHeight="1" x14ac:dyDescent="0.25">
      <c r="G385" s="63" t="s">
        <v>1172</v>
      </c>
    </row>
    <row r="386" spans="7:7" ht="15.75" customHeight="1" x14ac:dyDescent="0.25">
      <c r="G386" s="63" t="s">
        <v>1173</v>
      </c>
    </row>
    <row r="387" spans="7:7" ht="15.75" customHeight="1" x14ac:dyDescent="0.25">
      <c r="G387" s="63" t="s">
        <v>1174</v>
      </c>
    </row>
    <row r="388" spans="7:7" ht="15.75" customHeight="1" x14ac:dyDescent="0.25">
      <c r="G388" s="63" t="s">
        <v>1175</v>
      </c>
    </row>
    <row r="389" spans="7:7" ht="15.75" customHeight="1" x14ac:dyDescent="0.25">
      <c r="G389" s="63" t="s">
        <v>1176</v>
      </c>
    </row>
    <row r="390" spans="7:7" ht="15.75" customHeight="1" x14ac:dyDescent="0.25">
      <c r="G390" s="63" t="s">
        <v>1177</v>
      </c>
    </row>
    <row r="391" spans="7:7" ht="15.75" customHeight="1" x14ac:dyDescent="0.25">
      <c r="G391" s="63" t="s">
        <v>1178</v>
      </c>
    </row>
    <row r="392" spans="7:7" ht="15.75" customHeight="1" x14ac:dyDescent="0.25">
      <c r="G392" s="63" t="s">
        <v>1179</v>
      </c>
    </row>
    <row r="393" spans="7:7" ht="15.75" customHeight="1" x14ac:dyDescent="0.25">
      <c r="G393" s="63" t="s">
        <v>1180</v>
      </c>
    </row>
    <row r="394" spans="7:7" ht="15.75" customHeight="1" x14ac:dyDescent="0.25">
      <c r="G394" s="63" t="s">
        <v>1181</v>
      </c>
    </row>
    <row r="395" spans="7:7" ht="15.75" customHeight="1" x14ac:dyDescent="0.25">
      <c r="G395" s="63" t="s">
        <v>1182</v>
      </c>
    </row>
    <row r="396" spans="7:7" ht="15.75" customHeight="1" x14ac:dyDescent="0.25">
      <c r="G396" s="63" t="s">
        <v>1183</v>
      </c>
    </row>
    <row r="397" spans="7:7" ht="15.75" customHeight="1" x14ac:dyDescent="0.25">
      <c r="G397" s="63" t="s">
        <v>1184</v>
      </c>
    </row>
    <row r="398" spans="7:7" ht="15.75" customHeight="1" x14ac:dyDescent="0.25">
      <c r="G398" s="63" t="s">
        <v>1185</v>
      </c>
    </row>
    <row r="399" spans="7:7" ht="15.75" customHeight="1" x14ac:dyDescent="0.25">
      <c r="G399" s="63" t="s">
        <v>1186</v>
      </c>
    </row>
    <row r="400" spans="7:7" ht="15.75" customHeight="1" x14ac:dyDescent="0.25">
      <c r="G400" s="63" t="s">
        <v>1187</v>
      </c>
    </row>
    <row r="401" spans="7:7" ht="15.75" customHeight="1" x14ac:dyDescent="0.25">
      <c r="G401" s="63" t="s">
        <v>1188</v>
      </c>
    </row>
    <row r="402" spans="7:7" ht="15.75" customHeight="1" x14ac:dyDescent="0.25">
      <c r="G402" s="63" t="s">
        <v>1189</v>
      </c>
    </row>
    <row r="403" spans="7:7" ht="15.75" customHeight="1" x14ac:dyDescent="0.25">
      <c r="G403" s="63" t="s">
        <v>1190</v>
      </c>
    </row>
    <row r="404" spans="7:7" ht="15.75" customHeight="1" x14ac:dyDescent="0.25">
      <c r="G404" s="63" t="s">
        <v>1191</v>
      </c>
    </row>
    <row r="405" spans="7:7" ht="15.75" customHeight="1" x14ac:dyDescent="0.25">
      <c r="G405" s="63" t="s">
        <v>1192</v>
      </c>
    </row>
    <row r="406" spans="7:7" ht="15.75" customHeight="1" x14ac:dyDescent="0.25">
      <c r="G406" s="63" t="s">
        <v>1193</v>
      </c>
    </row>
    <row r="407" spans="7:7" ht="15.75" customHeight="1" x14ac:dyDescent="0.25">
      <c r="G407" s="63" t="s">
        <v>1194</v>
      </c>
    </row>
    <row r="408" spans="7:7" ht="15.75" customHeight="1" x14ac:dyDescent="0.25">
      <c r="G408" s="63" t="s">
        <v>1195</v>
      </c>
    </row>
    <row r="409" spans="7:7" ht="15.75" customHeight="1" x14ac:dyDescent="0.25">
      <c r="G409" s="63" t="s">
        <v>1196</v>
      </c>
    </row>
    <row r="410" spans="7:7" ht="15.75" customHeight="1" x14ac:dyDescent="0.25">
      <c r="G410" s="63" t="s">
        <v>1197</v>
      </c>
    </row>
    <row r="411" spans="7:7" ht="15.75" customHeight="1" x14ac:dyDescent="0.25">
      <c r="G411" s="63" t="s">
        <v>1198</v>
      </c>
    </row>
    <row r="412" spans="7:7" ht="15.75" customHeight="1" x14ac:dyDescent="0.25">
      <c r="G412" s="63" t="s">
        <v>1199</v>
      </c>
    </row>
    <row r="413" spans="7:7" ht="15.75" customHeight="1" x14ac:dyDescent="0.25">
      <c r="G413" s="63" t="s">
        <v>1200</v>
      </c>
    </row>
    <row r="414" spans="7:7" ht="15.75" customHeight="1" x14ac:dyDescent="0.25">
      <c r="G414" s="63" t="s">
        <v>1201</v>
      </c>
    </row>
    <row r="415" spans="7:7" ht="15.75" customHeight="1" x14ac:dyDescent="0.25">
      <c r="G415" s="63" t="s">
        <v>1202</v>
      </c>
    </row>
    <row r="416" spans="7:7" ht="15.75" customHeight="1" x14ac:dyDescent="0.25">
      <c r="G416" s="63" t="s">
        <v>1203</v>
      </c>
    </row>
    <row r="417" spans="7:7" ht="15.75" customHeight="1" x14ac:dyDescent="0.25">
      <c r="G417" s="63" t="s">
        <v>1204</v>
      </c>
    </row>
    <row r="418" spans="7:7" ht="15.75" customHeight="1" x14ac:dyDescent="0.25">
      <c r="G418" s="63" t="s">
        <v>1205</v>
      </c>
    </row>
    <row r="419" spans="7:7" ht="15.75" customHeight="1" x14ac:dyDescent="0.25">
      <c r="G419" s="63" t="s">
        <v>1206</v>
      </c>
    </row>
    <row r="420" spans="7:7" ht="15.75" customHeight="1" x14ac:dyDescent="0.25">
      <c r="G420" s="63" t="s">
        <v>1207</v>
      </c>
    </row>
    <row r="421" spans="7:7" ht="15.75" customHeight="1" x14ac:dyDescent="0.25">
      <c r="G421" s="63" t="s">
        <v>1208</v>
      </c>
    </row>
    <row r="422" spans="7:7" ht="15.75" customHeight="1" x14ac:dyDescent="0.25">
      <c r="G422" s="63" t="s">
        <v>1209</v>
      </c>
    </row>
    <row r="423" spans="7:7" ht="15.75" customHeight="1" x14ac:dyDescent="0.25">
      <c r="G423" s="63" t="s">
        <v>1210</v>
      </c>
    </row>
    <row r="424" spans="7:7" ht="15.75" customHeight="1" x14ac:dyDescent="0.25">
      <c r="G424" s="63" t="s">
        <v>1211</v>
      </c>
    </row>
    <row r="425" spans="7:7" ht="15.75" customHeight="1" x14ac:dyDescent="0.25">
      <c r="G425" s="63" t="s">
        <v>1212</v>
      </c>
    </row>
    <row r="426" spans="7:7" ht="15.75" customHeight="1" x14ac:dyDescent="0.25">
      <c r="G426" s="63" t="s">
        <v>1213</v>
      </c>
    </row>
    <row r="427" spans="7:7" ht="15.75" customHeight="1" x14ac:dyDescent="0.25">
      <c r="G427" s="63" t="s">
        <v>1214</v>
      </c>
    </row>
    <row r="428" spans="7:7" ht="15.75" customHeight="1" x14ac:dyDescent="0.25">
      <c r="G428" s="63" t="s">
        <v>1215</v>
      </c>
    </row>
    <row r="429" spans="7:7" ht="15.75" customHeight="1" x14ac:dyDescent="0.25">
      <c r="G429" s="63" t="s">
        <v>1216</v>
      </c>
    </row>
    <row r="430" spans="7:7" ht="15.75" customHeight="1" x14ac:dyDescent="0.25">
      <c r="G430" s="63" t="s">
        <v>1217</v>
      </c>
    </row>
    <row r="431" spans="7:7" ht="15.75" customHeight="1" x14ac:dyDescent="0.25">
      <c r="G431" s="63" t="s">
        <v>1218</v>
      </c>
    </row>
    <row r="432" spans="7:7" ht="15.75" customHeight="1" x14ac:dyDescent="0.25">
      <c r="G432" s="63" t="s">
        <v>1219</v>
      </c>
    </row>
    <row r="433" spans="7:7" ht="15.75" customHeight="1" x14ac:dyDescent="0.25">
      <c r="G433" s="63" t="s">
        <v>1220</v>
      </c>
    </row>
    <row r="434" spans="7:7" ht="15.75" customHeight="1" x14ac:dyDescent="0.25">
      <c r="G434" s="63" t="s">
        <v>1221</v>
      </c>
    </row>
    <row r="435" spans="7:7" ht="15.75" customHeight="1" x14ac:dyDescent="0.25">
      <c r="G435" s="63" t="s">
        <v>1222</v>
      </c>
    </row>
    <row r="436" spans="7:7" ht="15.75" customHeight="1" x14ac:dyDescent="0.25">
      <c r="G436" s="63" t="s">
        <v>1223</v>
      </c>
    </row>
    <row r="437" spans="7:7" ht="15.75" customHeight="1" x14ac:dyDescent="0.25">
      <c r="G437" s="63" t="s">
        <v>1224</v>
      </c>
    </row>
    <row r="438" spans="7:7" ht="15.75" customHeight="1" x14ac:dyDescent="0.25">
      <c r="G438" s="63" t="s">
        <v>1225</v>
      </c>
    </row>
    <row r="439" spans="7:7" ht="15.75" customHeight="1" x14ac:dyDescent="0.25">
      <c r="G439" s="63" t="s">
        <v>1226</v>
      </c>
    </row>
    <row r="440" spans="7:7" ht="15.75" customHeight="1" x14ac:dyDescent="0.25">
      <c r="G440" s="63" t="s">
        <v>1227</v>
      </c>
    </row>
    <row r="441" spans="7:7" ht="15.75" customHeight="1" x14ac:dyDescent="0.25">
      <c r="G441" s="63" t="s">
        <v>1228</v>
      </c>
    </row>
    <row r="442" spans="7:7" ht="15.75" customHeight="1" x14ac:dyDescent="0.25">
      <c r="G442" s="63" t="s">
        <v>1229</v>
      </c>
    </row>
    <row r="443" spans="7:7" ht="15.75" customHeight="1" x14ac:dyDescent="0.25">
      <c r="G443" s="63" t="s">
        <v>1230</v>
      </c>
    </row>
    <row r="444" spans="7:7" ht="15.75" customHeight="1" x14ac:dyDescent="0.25">
      <c r="G444" s="63" t="s">
        <v>1231</v>
      </c>
    </row>
    <row r="445" spans="7:7" ht="15.75" customHeight="1" x14ac:dyDescent="0.25">
      <c r="G445" s="63" t="s">
        <v>1232</v>
      </c>
    </row>
    <row r="446" spans="7:7" ht="15.75" customHeight="1" x14ac:dyDescent="0.25">
      <c r="G446" s="63" t="s">
        <v>1233</v>
      </c>
    </row>
    <row r="447" spans="7:7" ht="15.75" customHeight="1" x14ac:dyDescent="0.25">
      <c r="G447" s="63" t="s">
        <v>1234</v>
      </c>
    </row>
    <row r="448" spans="7:7" ht="15.75" customHeight="1" x14ac:dyDescent="0.25">
      <c r="G448" s="63" t="s">
        <v>1235</v>
      </c>
    </row>
    <row r="449" spans="7:7" ht="15.75" customHeight="1" x14ac:dyDescent="0.25">
      <c r="G449" s="63" t="s">
        <v>1236</v>
      </c>
    </row>
    <row r="450" spans="7:7" ht="15.75" customHeight="1" x14ac:dyDescent="0.25">
      <c r="G450" s="63" t="s">
        <v>1237</v>
      </c>
    </row>
    <row r="451" spans="7:7" ht="15.75" customHeight="1" x14ac:dyDescent="0.25">
      <c r="G451" s="63" t="s">
        <v>1238</v>
      </c>
    </row>
    <row r="452" spans="7:7" ht="15.75" customHeight="1" x14ac:dyDescent="0.25">
      <c r="G452" s="63" t="s">
        <v>1239</v>
      </c>
    </row>
    <row r="453" spans="7:7" ht="15.75" customHeight="1" x14ac:dyDescent="0.25">
      <c r="G453" s="63" t="s">
        <v>1240</v>
      </c>
    </row>
    <row r="454" spans="7:7" ht="15.75" customHeight="1" x14ac:dyDescent="0.25">
      <c r="G454" s="63" t="s">
        <v>1241</v>
      </c>
    </row>
    <row r="455" spans="7:7" ht="15.75" customHeight="1" x14ac:dyDescent="0.25">
      <c r="G455" s="63" t="s">
        <v>1242</v>
      </c>
    </row>
    <row r="456" spans="7:7" ht="15.75" customHeight="1" x14ac:dyDescent="0.25">
      <c r="G456" s="63" t="s">
        <v>1243</v>
      </c>
    </row>
    <row r="457" spans="7:7" ht="15.75" customHeight="1" x14ac:dyDescent="0.25">
      <c r="G457" s="63" t="s">
        <v>1244</v>
      </c>
    </row>
    <row r="458" spans="7:7" ht="15.75" customHeight="1" x14ac:dyDescent="0.25">
      <c r="G458" s="63" t="s">
        <v>1245</v>
      </c>
    </row>
    <row r="459" spans="7:7" ht="15.75" customHeight="1" x14ac:dyDescent="0.25">
      <c r="G459" s="63" t="s">
        <v>1246</v>
      </c>
    </row>
    <row r="460" spans="7:7" ht="15.75" customHeight="1" x14ac:dyDescent="0.25">
      <c r="G460" s="63" t="s">
        <v>1247</v>
      </c>
    </row>
    <row r="461" spans="7:7" ht="15.75" customHeight="1" x14ac:dyDescent="0.25">
      <c r="G461" s="63" t="s">
        <v>1248</v>
      </c>
    </row>
    <row r="462" spans="7:7" ht="15.75" customHeight="1" x14ac:dyDescent="0.25">
      <c r="G462" s="63" t="s">
        <v>1249</v>
      </c>
    </row>
    <row r="463" spans="7:7" ht="15.75" customHeight="1" x14ac:dyDescent="0.25">
      <c r="G463" s="63" t="s">
        <v>1250</v>
      </c>
    </row>
    <row r="464" spans="7:7" ht="15.75" customHeight="1" x14ac:dyDescent="0.25">
      <c r="G464" s="63" t="s">
        <v>1251</v>
      </c>
    </row>
    <row r="465" spans="7:7" ht="15.75" customHeight="1" x14ac:dyDescent="0.25">
      <c r="G465" s="63" t="s">
        <v>1252</v>
      </c>
    </row>
    <row r="466" spans="7:7" ht="15.75" customHeight="1" x14ac:dyDescent="0.25">
      <c r="G466" s="63" t="s">
        <v>1253</v>
      </c>
    </row>
    <row r="467" spans="7:7" ht="15.75" customHeight="1" x14ac:dyDescent="0.25">
      <c r="G467" s="63" t="s">
        <v>1254</v>
      </c>
    </row>
    <row r="468" spans="7:7" ht="15.75" customHeight="1" x14ac:dyDescent="0.25">
      <c r="G468" s="63" t="s">
        <v>1255</v>
      </c>
    </row>
    <row r="469" spans="7:7" ht="15.75" customHeight="1" x14ac:dyDescent="0.25">
      <c r="G469" s="63" t="s">
        <v>1256</v>
      </c>
    </row>
    <row r="470" spans="7:7" ht="15.75" customHeight="1" x14ac:dyDescent="0.25">
      <c r="G470" s="63" t="s">
        <v>1257</v>
      </c>
    </row>
    <row r="471" spans="7:7" ht="15.75" customHeight="1" x14ac:dyDescent="0.25">
      <c r="G471" s="63" t="s">
        <v>1258</v>
      </c>
    </row>
    <row r="472" spans="7:7" ht="15.75" customHeight="1" x14ac:dyDescent="0.25">
      <c r="G472" s="63" t="s">
        <v>1259</v>
      </c>
    </row>
    <row r="473" spans="7:7" ht="15.75" customHeight="1" x14ac:dyDescent="0.25">
      <c r="G473" s="63" t="s">
        <v>1260</v>
      </c>
    </row>
    <row r="474" spans="7:7" ht="15.75" customHeight="1" x14ac:dyDescent="0.25">
      <c r="G474" s="63" t="s">
        <v>1261</v>
      </c>
    </row>
    <row r="475" spans="7:7" ht="15.75" customHeight="1" x14ac:dyDescent="0.25">
      <c r="G475" s="63" t="s">
        <v>1262</v>
      </c>
    </row>
    <row r="476" spans="7:7" ht="15.75" customHeight="1" x14ac:dyDescent="0.25">
      <c r="G476" s="63" t="s">
        <v>1263</v>
      </c>
    </row>
    <row r="477" spans="7:7" ht="15.75" customHeight="1" x14ac:dyDescent="0.25">
      <c r="G477" s="63" t="s">
        <v>1264</v>
      </c>
    </row>
    <row r="478" spans="7:7" ht="15.75" customHeight="1" x14ac:dyDescent="0.25">
      <c r="G478" s="63" t="s">
        <v>1265</v>
      </c>
    </row>
    <row r="479" spans="7:7" ht="15.75" customHeight="1" x14ac:dyDescent="0.25">
      <c r="G479" s="63" t="s">
        <v>1266</v>
      </c>
    </row>
    <row r="480" spans="7:7" ht="15.75" customHeight="1" x14ac:dyDescent="0.25">
      <c r="G480" s="63" t="s">
        <v>1267</v>
      </c>
    </row>
    <row r="481" spans="7:7" ht="15.75" customHeight="1" x14ac:dyDescent="0.25">
      <c r="G481" s="63" t="s">
        <v>1268</v>
      </c>
    </row>
    <row r="482" spans="7:7" ht="15.75" customHeight="1" x14ac:dyDescent="0.25">
      <c r="G482" s="63" t="s">
        <v>1269</v>
      </c>
    </row>
    <row r="483" spans="7:7" ht="15.75" customHeight="1" x14ac:dyDescent="0.25">
      <c r="G483" s="63" t="s">
        <v>1270</v>
      </c>
    </row>
    <row r="484" spans="7:7" ht="15.75" customHeight="1" x14ac:dyDescent="0.25"/>
    <row r="485" spans="7:7" ht="15.75" customHeight="1" x14ac:dyDescent="0.25"/>
    <row r="486" spans="7:7" ht="15.75" customHeight="1" x14ac:dyDescent="0.25"/>
    <row r="487" spans="7:7" ht="15.75" customHeight="1" x14ac:dyDescent="0.25"/>
    <row r="488" spans="7:7" ht="15.75" customHeight="1" x14ac:dyDescent="0.25"/>
    <row r="489" spans="7:7" ht="15.75" customHeight="1" x14ac:dyDescent="0.25"/>
    <row r="490" spans="7:7" ht="15.75" customHeight="1" x14ac:dyDescent="0.25"/>
    <row r="491" spans="7:7" ht="15.75" customHeight="1" x14ac:dyDescent="0.25"/>
    <row r="492" spans="7:7" ht="15.75" customHeight="1" x14ac:dyDescent="0.25"/>
    <row r="493" spans="7:7" ht="15.75" customHeight="1" x14ac:dyDescent="0.25"/>
    <row r="494" spans="7:7" ht="15.75" customHeight="1" x14ac:dyDescent="0.25"/>
    <row r="495" spans="7:7" ht="15.75" customHeight="1" x14ac:dyDescent="0.25"/>
    <row r="496" spans="7:7"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zoomScaleNormal="100" workbookViewId="0"/>
  </sheetViews>
  <sheetFormatPr baseColWidth="10" defaultColWidth="14.42578125" defaultRowHeight="15" x14ac:dyDescent="0.25"/>
  <cols>
    <col min="1" max="4" width="155.5703125" style="1" customWidth="1"/>
    <col min="5" max="5" width="87.140625" style="1" customWidth="1"/>
    <col min="6" max="9" width="112.140625" style="1" customWidth="1"/>
    <col min="10" max="10" width="100.5703125" style="1" customWidth="1"/>
    <col min="11" max="11" width="112.140625" style="1" customWidth="1"/>
    <col min="12" max="12" width="113.5703125" style="1" customWidth="1"/>
  </cols>
  <sheetData>
    <row r="1" spans="1:12" x14ac:dyDescent="0.25">
      <c r="A1" s="38" t="e">
        <f>CONCATENATE("Bienes_",#REF!,"_",#REF!)</f>
        <v>#REF!</v>
      </c>
    </row>
    <row r="3" spans="1:12" x14ac:dyDescent="0.25">
      <c r="A3" s="67" t="s">
        <v>1271</v>
      </c>
      <c r="B3" s="67" t="s">
        <v>1272</v>
      </c>
      <c r="C3" s="67" t="s">
        <v>1273</v>
      </c>
      <c r="D3" s="67" t="s">
        <v>1274</v>
      </c>
      <c r="E3" s="67" t="s">
        <v>1275</v>
      </c>
      <c r="F3" s="67" t="s">
        <v>1276</v>
      </c>
      <c r="G3" s="67" t="s">
        <v>1277</v>
      </c>
      <c r="H3" s="67" t="s">
        <v>1278</v>
      </c>
      <c r="I3" s="67" t="s">
        <v>1279</v>
      </c>
      <c r="J3" s="67" t="s">
        <v>1280</v>
      </c>
      <c r="K3" s="67" t="s">
        <v>1281</v>
      </c>
      <c r="L3" s="67" t="s">
        <v>1282</v>
      </c>
    </row>
    <row r="4" spans="1:12" x14ac:dyDescent="0.25">
      <c r="A4" s="38" t="s">
        <v>1283</v>
      </c>
      <c r="B4" s="38" t="s">
        <v>1284</v>
      </c>
      <c r="C4" s="38" t="s">
        <v>1285</v>
      </c>
      <c r="D4" s="38" t="s">
        <v>1286</v>
      </c>
      <c r="E4" s="38" t="s">
        <v>1287</v>
      </c>
      <c r="F4" s="38" t="s">
        <v>1288</v>
      </c>
      <c r="G4" s="38" t="s">
        <v>1289</v>
      </c>
      <c r="H4" s="38" t="s">
        <v>1289</v>
      </c>
      <c r="I4" s="38" t="s">
        <v>1289</v>
      </c>
      <c r="J4" s="38" t="s">
        <v>1290</v>
      </c>
      <c r="K4" s="38" t="s">
        <v>1290</v>
      </c>
      <c r="L4" s="38" t="s">
        <v>1291</v>
      </c>
    </row>
    <row r="5" spans="1:12" x14ac:dyDescent="0.25">
      <c r="A5" s="38" t="s">
        <v>1292</v>
      </c>
      <c r="B5" s="38" t="s">
        <v>1293</v>
      </c>
      <c r="C5" s="38" t="s">
        <v>1294</v>
      </c>
      <c r="D5" s="38" t="s">
        <v>1295</v>
      </c>
      <c r="E5" s="38" t="s">
        <v>1296</v>
      </c>
      <c r="F5" s="38" t="s">
        <v>1297</v>
      </c>
      <c r="G5" s="38" t="s">
        <v>1298</v>
      </c>
      <c r="H5" s="38" t="s">
        <v>1298</v>
      </c>
      <c r="I5" s="38" t="s">
        <v>1298</v>
      </c>
      <c r="J5" s="38" t="s">
        <v>1299</v>
      </c>
      <c r="K5" s="38" t="s">
        <v>1299</v>
      </c>
      <c r="L5" s="38" t="s">
        <v>48</v>
      </c>
    </row>
    <row r="6" spans="1:12" x14ac:dyDescent="0.25">
      <c r="A6" s="38" t="s">
        <v>1300</v>
      </c>
      <c r="B6" s="38" t="s">
        <v>1301</v>
      </c>
      <c r="C6" s="38" t="s">
        <v>1302</v>
      </c>
      <c r="D6" s="38" t="s">
        <v>1303</v>
      </c>
      <c r="E6" s="38" t="s">
        <v>1304</v>
      </c>
      <c r="F6" s="38" t="s">
        <v>1305</v>
      </c>
      <c r="G6" s="38" t="s">
        <v>1306</v>
      </c>
      <c r="H6" s="38" t="s">
        <v>1306</v>
      </c>
      <c r="I6" s="38" t="s">
        <v>1306</v>
      </c>
      <c r="J6" s="38" t="s">
        <v>1307</v>
      </c>
      <c r="K6" s="38" t="s">
        <v>1307</v>
      </c>
      <c r="L6" s="38" t="s">
        <v>152</v>
      </c>
    </row>
    <row r="7" spans="1:12" x14ac:dyDescent="0.25">
      <c r="A7" s="38" t="s">
        <v>1308</v>
      </c>
      <c r="B7" s="38" t="s">
        <v>1309</v>
      </c>
      <c r="C7" s="38" t="s">
        <v>1310</v>
      </c>
      <c r="D7" s="38" t="s">
        <v>1311</v>
      </c>
      <c r="E7" s="38" t="s">
        <v>1312</v>
      </c>
      <c r="F7" s="38" t="s">
        <v>1313</v>
      </c>
      <c r="G7" s="38" t="s">
        <v>1314</v>
      </c>
      <c r="H7" s="38" t="s">
        <v>1314</v>
      </c>
      <c r="I7" s="38" t="s">
        <v>1314</v>
      </c>
      <c r="J7" s="38" t="s">
        <v>1315</v>
      </c>
      <c r="K7" s="38" t="s">
        <v>1315</v>
      </c>
      <c r="L7" s="38" t="s">
        <v>1316</v>
      </c>
    </row>
    <row r="8" spans="1:12" x14ac:dyDescent="0.25">
      <c r="A8" s="38" t="s">
        <v>1317</v>
      </c>
      <c r="B8" s="38" t="s">
        <v>57</v>
      </c>
      <c r="C8" s="38" t="s">
        <v>1318</v>
      </c>
      <c r="D8" s="38" t="s">
        <v>1319</v>
      </c>
      <c r="E8" s="38" t="s">
        <v>1320</v>
      </c>
      <c r="F8" s="38" t="s">
        <v>1321</v>
      </c>
      <c r="G8" s="38" t="s">
        <v>1322</v>
      </c>
      <c r="H8" s="38" t="s">
        <v>1322</v>
      </c>
      <c r="I8" s="38" t="s">
        <v>1322</v>
      </c>
      <c r="J8" s="38" t="s">
        <v>1323</v>
      </c>
      <c r="K8" s="38" t="s">
        <v>1323</v>
      </c>
      <c r="L8" s="38" t="s">
        <v>57</v>
      </c>
    </row>
    <row r="9" spans="1:12" x14ac:dyDescent="0.25">
      <c r="A9" s="38" t="s">
        <v>1324</v>
      </c>
      <c r="B9" s="38" t="s">
        <v>1311</v>
      </c>
      <c r="C9" s="38" t="s">
        <v>1323</v>
      </c>
      <c r="D9" s="38" t="s">
        <v>1325</v>
      </c>
      <c r="E9" s="38" t="s">
        <v>1326</v>
      </c>
      <c r="F9" s="38" t="s">
        <v>1327</v>
      </c>
      <c r="G9" s="38" t="s">
        <v>1328</v>
      </c>
      <c r="H9" s="38" t="s">
        <v>1328</v>
      </c>
      <c r="I9" s="38" t="s">
        <v>1328</v>
      </c>
      <c r="J9" s="38" t="s">
        <v>1329</v>
      </c>
      <c r="K9" s="38" t="s">
        <v>1329</v>
      </c>
      <c r="L9" s="38" t="s">
        <v>1330</v>
      </c>
    </row>
    <row r="10" spans="1:12" x14ac:dyDescent="0.25">
      <c r="A10" s="38" t="s">
        <v>1331</v>
      </c>
      <c r="B10" s="38" t="s">
        <v>1319</v>
      </c>
      <c r="C10" s="38" t="s">
        <v>1332</v>
      </c>
      <c r="D10" s="38" t="s">
        <v>230</v>
      </c>
      <c r="E10" s="38" t="s">
        <v>1333</v>
      </c>
      <c r="F10" s="38" t="s">
        <v>1316</v>
      </c>
      <c r="G10" s="38" t="s">
        <v>1334</v>
      </c>
      <c r="H10" s="38" t="s">
        <v>1334</v>
      </c>
      <c r="I10" s="38" t="s">
        <v>1334</v>
      </c>
      <c r="J10" s="38" t="s">
        <v>1335</v>
      </c>
      <c r="K10" s="38" t="s">
        <v>1335</v>
      </c>
      <c r="L10" s="38" t="s">
        <v>1336</v>
      </c>
    </row>
    <row r="11" spans="1:12" x14ac:dyDescent="0.25">
      <c r="A11" s="38" t="s">
        <v>1298</v>
      </c>
      <c r="B11" s="38" t="s">
        <v>1325</v>
      </c>
      <c r="C11" s="38" t="s">
        <v>1337</v>
      </c>
      <c r="D11" s="38" t="s">
        <v>240</v>
      </c>
      <c r="E11" s="38" t="s">
        <v>1338</v>
      </c>
      <c r="F11" s="38" t="s">
        <v>1339</v>
      </c>
      <c r="G11" s="38" t="s">
        <v>1340</v>
      </c>
      <c r="H11" s="38" t="s">
        <v>1340</v>
      </c>
      <c r="I11" s="38" t="s">
        <v>1340</v>
      </c>
      <c r="J11" s="38" t="s">
        <v>1341</v>
      </c>
      <c r="K11" s="38" t="s">
        <v>1341</v>
      </c>
      <c r="L11" s="38" t="s">
        <v>1342</v>
      </c>
    </row>
    <row r="12" spans="1:12" x14ac:dyDescent="0.25">
      <c r="A12" s="38" t="s">
        <v>1343</v>
      </c>
      <c r="B12" s="38" t="s">
        <v>230</v>
      </c>
      <c r="C12" s="38" t="s">
        <v>1344</v>
      </c>
      <c r="D12" s="38" t="s">
        <v>251</v>
      </c>
      <c r="E12" s="38" t="s">
        <v>1345</v>
      </c>
      <c r="F12" s="38" t="s">
        <v>57</v>
      </c>
      <c r="G12" s="38" t="s">
        <v>1315</v>
      </c>
      <c r="H12" s="38" t="s">
        <v>1315</v>
      </c>
      <c r="I12" s="38" t="s">
        <v>1315</v>
      </c>
      <c r="J12" s="38" t="s">
        <v>1333</v>
      </c>
      <c r="K12" s="38" t="s">
        <v>1333</v>
      </c>
      <c r="L12" s="38" t="s">
        <v>1346</v>
      </c>
    </row>
    <row r="13" spans="1:12" x14ac:dyDescent="0.25">
      <c r="A13" s="38" t="s">
        <v>1332</v>
      </c>
      <c r="B13" s="38" t="s">
        <v>240</v>
      </c>
      <c r="C13" s="38" t="s">
        <v>1347</v>
      </c>
      <c r="D13" s="38" t="s">
        <v>1348</v>
      </c>
      <c r="E13" s="38" t="s">
        <v>1349</v>
      </c>
      <c r="F13" s="38" t="s">
        <v>1350</v>
      </c>
      <c r="G13" s="38" t="s">
        <v>1333</v>
      </c>
      <c r="H13" s="38" t="s">
        <v>1333</v>
      </c>
      <c r="I13" s="38" t="s">
        <v>1333</v>
      </c>
      <c r="J13" s="38" t="s">
        <v>1351</v>
      </c>
      <c r="K13" s="38" t="s">
        <v>1351</v>
      </c>
      <c r="L13" s="38" t="s">
        <v>1352</v>
      </c>
    </row>
    <row r="14" spans="1:12" x14ac:dyDescent="0.25">
      <c r="A14" s="38" t="s">
        <v>1353</v>
      </c>
      <c r="B14" s="38" t="s">
        <v>251</v>
      </c>
      <c r="C14" s="38" t="s">
        <v>57</v>
      </c>
      <c r="D14" s="38" t="s">
        <v>1354</v>
      </c>
      <c r="E14" s="38" t="s">
        <v>1355</v>
      </c>
      <c r="F14" s="38" t="s">
        <v>1356</v>
      </c>
      <c r="G14" s="38" t="s">
        <v>1357</v>
      </c>
      <c r="H14" s="38" t="s">
        <v>1357</v>
      </c>
      <c r="I14" s="38" t="s">
        <v>1357</v>
      </c>
      <c r="J14" s="38" t="s">
        <v>1358</v>
      </c>
      <c r="K14" s="38" t="s">
        <v>1358</v>
      </c>
      <c r="L14" s="38" t="s">
        <v>1359</v>
      </c>
    </row>
    <row r="15" spans="1:12" x14ac:dyDescent="0.25">
      <c r="A15" s="38" t="s">
        <v>1360</v>
      </c>
      <c r="B15" s="38" t="s">
        <v>1348</v>
      </c>
      <c r="C15" s="38" t="s">
        <v>1311</v>
      </c>
      <c r="D15" s="38" t="s">
        <v>1361</v>
      </c>
      <c r="E15" s="38" t="s">
        <v>1362</v>
      </c>
      <c r="F15" s="38" t="s">
        <v>1363</v>
      </c>
      <c r="G15" s="38" t="s">
        <v>1364</v>
      </c>
      <c r="H15" s="38" t="s">
        <v>1364</v>
      </c>
      <c r="I15" s="38" t="s">
        <v>1364</v>
      </c>
      <c r="J15" s="38" t="s">
        <v>1365</v>
      </c>
      <c r="K15" s="38" t="s">
        <v>1365</v>
      </c>
      <c r="L15" s="38" t="s">
        <v>1366</v>
      </c>
    </row>
    <row r="16" spans="1:12" x14ac:dyDescent="0.25">
      <c r="A16" s="38" t="s">
        <v>1367</v>
      </c>
      <c r="B16" s="38" t="s">
        <v>1354</v>
      </c>
      <c r="C16" s="38" t="s">
        <v>1319</v>
      </c>
      <c r="D16" s="38" t="s">
        <v>293</v>
      </c>
      <c r="E16" s="38" t="s">
        <v>1368</v>
      </c>
      <c r="F16" s="38" t="s">
        <v>57</v>
      </c>
      <c r="G16" s="38" t="s">
        <v>1369</v>
      </c>
      <c r="H16" s="38" t="s">
        <v>1369</v>
      </c>
      <c r="I16" s="38" t="s">
        <v>1369</v>
      </c>
      <c r="J16" s="38" t="s">
        <v>57</v>
      </c>
      <c r="K16" s="38" t="s">
        <v>57</v>
      </c>
      <c r="L16" s="38" t="s">
        <v>1370</v>
      </c>
    </row>
    <row r="17" spans="1:12" x14ac:dyDescent="0.25">
      <c r="A17" s="38" t="s">
        <v>1371</v>
      </c>
      <c r="B17" s="38" t="s">
        <v>1361</v>
      </c>
      <c r="C17" s="38" t="s">
        <v>1325</v>
      </c>
      <c r="D17" s="38" t="s">
        <v>314</v>
      </c>
      <c r="E17" s="38" t="s">
        <v>1372</v>
      </c>
      <c r="F17" s="38" t="s">
        <v>230</v>
      </c>
      <c r="G17" s="38" t="s">
        <v>1373</v>
      </c>
      <c r="H17" s="38" t="s">
        <v>1373</v>
      </c>
      <c r="I17" s="38" t="s">
        <v>1373</v>
      </c>
      <c r="J17" s="38" t="s">
        <v>230</v>
      </c>
      <c r="K17" s="38" t="s">
        <v>230</v>
      </c>
      <c r="L17" s="38" t="s">
        <v>162</v>
      </c>
    </row>
    <row r="18" spans="1:12" x14ac:dyDescent="0.25">
      <c r="A18" s="38" t="s">
        <v>1374</v>
      </c>
      <c r="B18" s="38" t="s">
        <v>293</v>
      </c>
      <c r="C18" s="38" t="s">
        <v>230</v>
      </c>
      <c r="D18" s="38" t="s">
        <v>355</v>
      </c>
      <c r="E18" s="38" t="s">
        <v>1375</v>
      </c>
      <c r="F18" s="38" t="s">
        <v>240</v>
      </c>
      <c r="G18" s="38" t="s">
        <v>1376</v>
      </c>
      <c r="H18" s="38" t="s">
        <v>1376</v>
      </c>
      <c r="I18" s="38" t="s">
        <v>1376</v>
      </c>
      <c r="J18" s="38" t="s">
        <v>240</v>
      </c>
      <c r="K18" s="38" t="s">
        <v>240</v>
      </c>
      <c r="L18" s="38" t="s">
        <v>1377</v>
      </c>
    </row>
    <row r="19" spans="1:12" x14ac:dyDescent="0.25">
      <c r="A19" s="38" t="s">
        <v>57</v>
      </c>
      <c r="B19" s="38" t="s">
        <v>314</v>
      </c>
      <c r="C19" s="38" t="s">
        <v>240</v>
      </c>
      <c r="D19" s="38" t="s">
        <v>423</v>
      </c>
      <c r="E19" s="38" t="s">
        <v>1378</v>
      </c>
      <c r="F19" s="38" t="s">
        <v>251</v>
      </c>
      <c r="G19" s="38" t="s">
        <v>1379</v>
      </c>
      <c r="H19" s="38" t="s">
        <v>1379</v>
      </c>
      <c r="I19" s="38" t="s">
        <v>1379</v>
      </c>
      <c r="J19" s="38" t="s">
        <v>251</v>
      </c>
      <c r="K19" s="38" t="s">
        <v>251</v>
      </c>
      <c r="L19" s="38" t="s">
        <v>1380</v>
      </c>
    </row>
    <row r="20" spans="1:12" x14ac:dyDescent="0.25">
      <c r="A20" s="38" t="s">
        <v>1311</v>
      </c>
      <c r="B20" s="38" t="s">
        <v>355</v>
      </c>
      <c r="C20" s="38" t="s">
        <v>251</v>
      </c>
      <c r="D20" s="38" t="s">
        <v>1381</v>
      </c>
      <c r="E20" s="38" t="s">
        <v>1382</v>
      </c>
      <c r="F20" s="38" t="s">
        <v>1348</v>
      </c>
      <c r="G20" s="38" t="s">
        <v>1383</v>
      </c>
      <c r="H20" s="38" t="s">
        <v>1383</v>
      </c>
      <c r="I20" s="38" t="s">
        <v>1383</v>
      </c>
      <c r="J20" s="38" t="s">
        <v>1348</v>
      </c>
      <c r="K20" s="38" t="s">
        <v>1348</v>
      </c>
      <c r="L20" s="38" t="s">
        <v>1384</v>
      </c>
    </row>
    <row r="21" spans="1:12" ht="15.75" customHeight="1" x14ac:dyDescent="0.25">
      <c r="A21" s="38" t="s">
        <v>1319</v>
      </c>
      <c r="B21" s="38" t="s">
        <v>423</v>
      </c>
      <c r="C21" s="38" t="s">
        <v>1348</v>
      </c>
      <c r="D21" s="38" t="s">
        <v>1385</v>
      </c>
      <c r="E21" s="38" t="s">
        <v>1369</v>
      </c>
      <c r="F21" s="38" t="s">
        <v>1354</v>
      </c>
      <c r="G21" s="38" t="s">
        <v>1386</v>
      </c>
      <c r="H21" s="38" t="s">
        <v>1386</v>
      </c>
      <c r="I21" s="38" t="s">
        <v>1386</v>
      </c>
      <c r="J21" s="38" t="s">
        <v>1354</v>
      </c>
      <c r="K21" s="38" t="s">
        <v>1354</v>
      </c>
      <c r="L21" s="38" t="s">
        <v>57</v>
      </c>
    </row>
    <row r="22" spans="1:12" ht="15.75" customHeight="1" x14ac:dyDescent="0.25">
      <c r="A22" s="38" t="s">
        <v>1325</v>
      </c>
      <c r="B22" s="38" t="s">
        <v>1381</v>
      </c>
      <c r="C22" s="38" t="s">
        <v>1354</v>
      </c>
      <c r="D22" s="38" t="s">
        <v>1387</v>
      </c>
      <c r="E22" s="38" t="s">
        <v>1388</v>
      </c>
      <c r="F22" s="38" t="s">
        <v>1361</v>
      </c>
      <c r="G22" s="38" t="s">
        <v>1389</v>
      </c>
      <c r="H22" s="38" t="s">
        <v>1389</v>
      </c>
      <c r="I22" s="38" t="s">
        <v>1389</v>
      </c>
      <c r="J22" s="38" t="s">
        <v>1361</v>
      </c>
      <c r="K22" s="38" t="s">
        <v>1361</v>
      </c>
      <c r="L22" s="38" t="s">
        <v>230</v>
      </c>
    </row>
    <row r="23" spans="1:12" ht="15.75" customHeight="1" x14ac:dyDescent="0.25">
      <c r="A23" s="38" t="s">
        <v>230</v>
      </c>
      <c r="B23" s="38" t="s">
        <v>1385</v>
      </c>
      <c r="C23" s="38" t="s">
        <v>1361</v>
      </c>
      <c r="D23" s="38" t="s">
        <v>184</v>
      </c>
      <c r="E23" s="38" t="s">
        <v>1390</v>
      </c>
      <c r="F23" s="38" t="s">
        <v>293</v>
      </c>
      <c r="G23" s="38" t="s">
        <v>1391</v>
      </c>
      <c r="H23" s="38" t="s">
        <v>1391</v>
      </c>
      <c r="I23" s="38" t="s">
        <v>1391</v>
      </c>
      <c r="J23" s="38" t="s">
        <v>293</v>
      </c>
      <c r="K23" s="38" t="s">
        <v>293</v>
      </c>
      <c r="L23" s="38" t="s">
        <v>240</v>
      </c>
    </row>
    <row r="24" spans="1:12" ht="15.75" customHeight="1" x14ac:dyDescent="0.25">
      <c r="A24" s="38" t="s">
        <v>240</v>
      </c>
      <c r="B24" s="38" t="s">
        <v>1387</v>
      </c>
      <c r="C24" s="38" t="s">
        <v>293</v>
      </c>
      <c r="D24" s="38" t="s">
        <v>1392</v>
      </c>
      <c r="E24" s="38" t="s">
        <v>1393</v>
      </c>
      <c r="F24" s="38" t="s">
        <v>314</v>
      </c>
      <c r="G24" s="38" t="s">
        <v>1394</v>
      </c>
      <c r="H24" s="38" t="s">
        <v>1394</v>
      </c>
      <c r="I24" s="38" t="s">
        <v>1394</v>
      </c>
      <c r="J24" s="38" t="s">
        <v>314</v>
      </c>
      <c r="K24" s="38" t="s">
        <v>314</v>
      </c>
      <c r="L24" s="38" t="s">
        <v>251</v>
      </c>
    </row>
    <row r="25" spans="1:12" ht="15.75" customHeight="1" x14ac:dyDescent="0.25">
      <c r="A25" s="38" t="s">
        <v>251</v>
      </c>
      <c r="B25" s="38" t="s">
        <v>184</v>
      </c>
      <c r="C25" s="38" t="s">
        <v>314</v>
      </c>
      <c r="D25" s="38" t="s">
        <v>516</v>
      </c>
      <c r="E25" s="38" t="s">
        <v>1395</v>
      </c>
      <c r="F25" s="38" t="s">
        <v>355</v>
      </c>
      <c r="G25" s="38" t="s">
        <v>57</v>
      </c>
      <c r="H25" s="38" t="s">
        <v>57</v>
      </c>
      <c r="I25" s="38" t="s">
        <v>57</v>
      </c>
      <c r="J25" s="38" t="s">
        <v>355</v>
      </c>
      <c r="K25" s="38" t="s">
        <v>355</v>
      </c>
      <c r="L25" s="38" t="s">
        <v>1348</v>
      </c>
    </row>
    <row r="26" spans="1:12" ht="15.75" customHeight="1" x14ac:dyDescent="0.25">
      <c r="A26" s="38" t="s">
        <v>1348</v>
      </c>
      <c r="B26" s="38" t="s">
        <v>1392</v>
      </c>
      <c r="C26" s="38" t="s">
        <v>355</v>
      </c>
      <c r="D26" s="38" t="s">
        <v>1396</v>
      </c>
      <c r="E26" s="38" t="s">
        <v>57</v>
      </c>
      <c r="F26" s="38" t="s">
        <v>423</v>
      </c>
      <c r="G26" s="38" t="s">
        <v>1397</v>
      </c>
      <c r="H26" s="38" t="s">
        <v>1397</v>
      </c>
      <c r="I26" s="38" t="s">
        <v>1397</v>
      </c>
      <c r="J26" s="38" t="s">
        <v>423</v>
      </c>
      <c r="K26" s="38" t="s">
        <v>423</v>
      </c>
      <c r="L26" s="38" t="s">
        <v>1354</v>
      </c>
    </row>
    <row r="27" spans="1:12" ht="15.75" customHeight="1" x14ac:dyDescent="0.25">
      <c r="A27" s="38" t="s">
        <v>1354</v>
      </c>
      <c r="B27" s="38" t="s">
        <v>516</v>
      </c>
      <c r="C27" s="38" t="s">
        <v>423</v>
      </c>
      <c r="D27" s="38" t="s">
        <v>466</v>
      </c>
      <c r="E27" s="38" t="s">
        <v>1311</v>
      </c>
      <c r="F27" s="38" t="s">
        <v>1381</v>
      </c>
      <c r="G27" s="38" t="s">
        <v>1398</v>
      </c>
      <c r="H27" s="38" t="s">
        <v>1398</v>
      </c>
      <c r="I27" s="38" t="s">
        <v>1398</v>
      </c>
      <c r="J27" s="38" t="s">
        <v>1381</v>
      </c>
      <c r="K27" s="38" t="s">
        <v>1381</v>
      </c>
      <c r="L27" s="38" t="s">
        <v>1361</v>
      </c>
    </row>
    <row r="28" spans="1:12" ht="15.75" customHeight="1" x14ac:dyDescent="0.25">
      <c r="A28" s="38" t="s">
        <v>1361</v>
      </c>
      <c r="B28" s="38" t="s">
        <v>1396</v>
      </c>
      <c r="C28" s="38" t="s">
        <v>1381</v>
      </c>
      <c r="D28" s="38" t="s">
        <v>1399</v>
      </c>
      <c r="E28" s="38" t="s">
        <v>1319</v>
      </c>
      <c r="F28" s="38" t="s">
        <v>1385</v>
      </c>
      <c r="G28" s="38" t="s">
        <v>1400</v>
      </c>
      <c r="H28" s="38" t="s">
        <v>1400</v>
      </c>
      <c r="I28" s="38" t="s">
        <v>1400</v>
      </c>
      <c r="J28" s="38" t="s">
        <v>1385</v>
      </c>
      <c r="K28" s="38" t="s">
        <v>1385</v>
      </c>
      <c r="L28" s="38" t="s">
        <v>293</v>
      </c>
    </row>
    <row r="29" spans="1:12" ht="15.75" customHeight="1" x14ac:dyDescent="0.25">
      <c r="A29" s="38" t="s">
        <v>293</v>
      </c>
      <c r="B29" s="38" t="s">
        <v>466</v>
      </c>
      <c r="C29" s="38" t="s">
        <v>1385</v>
      </c>
      <c r="D29" s="38" t="s">
        <v>1401</v>
      </c>
      <c r="E29" s="38" t="s">
        <v>1325</v>
      </c>
      <c r="F29" s="38" t="s">
        <v>500</v>
      </c>
      <c r="G29" s="38" t="s">
        <v>1402</v>
      </c>
      <c r="H29" s="38" t="s">
        <v>1402</v>
      </c>
      <c r="I29" s="38" t="s">
        <v>1402</v>
      </c>
      <c r="J29" s="38" t="s">
        <v>500</v>
      </c>
      <c r="K29" s="38" t="s">
        <v>500</v>
      </c>
      <c r="L29" s="38" t="s">
        <v>314</v>
      </c>
    </row>
    <row r="30" spans="1:12" ht="15.75" customHeight="1" x14ac:dyDescent="0.25">
      <c r="A30" s="38" t="s">
        <v>314</v>
      </c>
      <c r="B30" s="38" t="s">
        <v>1399</v>
      </c>
      <c r="C30" s="38" t="s">
        <v>1387</v>
      </c>
      <c r="D30" s="38" t="s">
        <v>1403</v>
      </c>
      <c r="E30" s="38" t="s">
        <v>230</v>
      </c>
      <c r="F30" s="38" t="s">
        <v>184</v>
      </c>
      <c r="G30" s="38" t="s">
        <v>1404</v>
      </c>
      <c r="H30" s="38" t="s">
        <v>1404</v>
      </c>
      <c r="I30" s="38" t="s">
        <v>1404</v>
      </c>
      <c r="J30" s="38" t="s">
        <v>184</v>
      </c>
      <c r="K30" s="38" t="s">
        <v>184</v>
      </c>
      <c r="L30" s="38" t="s">
        <v>355</v>
      </c>
    </row>
    <row r="31" spans="1:12" ht="15.75" customHeight="1" x14ac:dyDescent="0.25">
      <c r="A31" s="38" t="s">
        <v>355</v>
      </c>
      <c r="B31" s="38" t="s">
        <v>1401</v>
      </c>
      <c r="C31" s="38" t="s">
        <v>184</v>
      </c>
      <c r="E31" s="38" t="s">
        <v>240</v>
      </c>
      <c r="F31" s="38" t="s">
        <v>1392</v>
      </c>
      <c r="G31" s="38" t="s">
        <v>230</v>
      </c>
      <c r="H31" s="38" t="s">
        <v>230</v>
      </c>
      <c r="I31" s="38" t="s">
        <v>230</v>
      </c>
      <c r="J31" s="38" t="s">
        <v>1392</v>
      </c>
      <c r="K31" s="38" t="s">
        <v>1392</v>
      </c>
      <c r="L31" s="38" t="s">
        <v>423</v>
      </c>
    </row>
    <row r="32" spans="1:12" ht="15.75" customHeight="1" x14ac:dyDescent="0.25">
      <c r="A32" s="38" t="s">
        <v>423</v>
      </c>
      <c r="B32" s="38" t="s">
        <v>1403</v>
      </c>
      <c r="C32" s="38" t="s">
        <v>1392</v>
      </c>
      <c r="E32" s="38" t="s">
        <v>251</v>
      </c>
      <c r="F32" s="38" t="s">
        <v>516</v>
      </c>
      <c r="G32" s="38" t="s">
        <v>240</v>
      </c>
      <c r="H32" s="38" t="s">
        <v>240</v>
      </c>
      <c r="I32" s="38" t="s">
        <v>240</v>
      </c>
      <c r="J32" s="38" t="s">
        <v>516</v>
      </c>
      <c r="K32" s="38" t="s">
        <v>516</v>
      </c>
      <c r="L32" s="38" t="s">
        <v>1381</v>
      </c>
    </row>
    <row r="33" spans="1:12" ht="15.75" customHeight="1" x14ac:dyDescent="0.25">
      <c r="A33" s="38" t="s">
        <v>1381</v>
      </c>
      <c r="C33" s="38" t="s">
        <v>516</v>
      </c>
      <c r="E33" s="38" t="s">
        <v>1348</v>
      </c>
      <c r="F33" s="38" t="s">
        <v>1396</v>
      </c>
      <c r="G33" s="38" t="s">
        <v>251</v>
      </c>
      <c r="H33" s="38" t="s">
        <v>251</v>
      </c>
      <c r="I33" s="38" t="s">
        <v>251</v>
      </c>
      <c r="J33" s="38" t="s">
        <v>1396</v>
      </c>
      <c r="K33" s="38" t="s">
        <v>1396</v>
      </c>
      <c r="L33" s="38" t="s">
        <v>1385</v>
      </c>
    </row>
    <row r="34" spans="1:12" ht="15.75" customHeight="1" x14ac:dyDescent="0.25">
      <c r="A34" s="38" t="s">
        <v>1385</v>
      </c>
      <c r="C34" s="38" t="s">
        <v>1396</v>
      </c>
      <c r="E34" s="38" t="s">
        <v>1354</v>
      </c>
      <c r="F34" s="38" t="s">
        <v>466</v>
      </c>
      <c r="G34" s="38" t="s">
        <v>1348</v>
      </c>
      <c r="H34" s="38" t="s">
        <v>1348</v>
      </c>
      <c r="I34" s="38" t="s">
        <v>1348</v>
      </c>
      <c r="J34" s="38" t="s">
        <v>466</v>
      </c>
      <c r="K34" s="38" t="s">
        <v>466</v>
      </c>
      <c r="L34" s="38" t="s">
        <v>500</v>
      </c>
    </row>
    <row r="35" spans="1:12" ht="15.75" customHeight="1" x14ac:dyDescent="0.25">
      <c r="A35" s="38" t="s">
        <v>1387</v>
      </c>
      <c r="C35" s="38" t="s">
        <v>466</v>
      </c>
      <c r="E35" s="38" t="s">
        <v>1361</v>
      </c>
      <c r="F35" s="38" t="s">
        <v>71</v>
      </c>
      <c r="G35" s="38" t="s">
        <v>1354</v>
      </c>
      <c r="H35" s="38" t="s">
        <v>1354</v>
      </c>
      <c r="I35" s="38" t="s">
        <v>1354</v>
      </c>
      <c r="J35" s="38" t="s">
        <v>71</v>
      </c>
      <c r="K35" s="38" t="s">
        <v>71</v>
      </c>
      <c r="L35" s="38" t="s">
        <v>184</v>
      </c>
    </row>
    <row r="36" spans="1:12" ht="15.75" customHeight="1" x14ac:dyDescent="0.25">
      <c r="A36" s="38" t="s">
        <v>184</v>
      </c>
      <c r="C36" s="38" t="s">
        <v>1399</v>
      </c>
      <c r="E36" s="38" t="s">
        <v>293</v>
      </c>
      <c r="F36" s="38" t="s">
        <v>18</v>
      </c>
      <c r="G36" s="38" t="s">
        <v>1361</v>
      </c>
      <c r="H36" s="38" t="s">
        <v>1361</v>
      </c>
      <c r="I36" s="38" t="s">
        <v>1361</v>
      </c>
      <c r="J36" s="38" t="s">
        <v>18</v>
      </c>
      <c r="K36" s="38" t="s">
        <v>18</v>
      </c>
      <c r="L36" s="38" t="s">
        <v>1392</v>
      </c>
    </row>
    <row r="37" spans="1:12" ht="15.75" customHeight="1" x14ac:dyDescent="0.25">
      <c r="A37" s="38" t="s">
        <v>1392</v>
      </c>
      <c r="C37" s="38" t="s">
        <v>1401</v>
      </c>
      <c r="E37" s="38" t="s">
        <v>314</v>
      </c>
      <c r="F37" s="38" t="s">
        <v>1403</v>
      </c>
      <c r="G37" s="38" t="s">
        <v>293</v>
      </c>
      <c r="H37" s="38" t="s">
        <v>293</v>
      </c>
      <c r="I37" s="38" t="s">
        <v>293</v>
      </c>
      <c r="J37" s="38" t="s">
        <v>1403</v>
      </c>
      <c r="K37" s="38" t="s">
        <v>1403</v>
      </c>
      <c r="L37" s="38" t="s">
        <v>516</v>
      </c>
    </row>
    <row r="38" spans="1:12" ht="15.75" customHeight="1" x14ac:dyDescent="0.25">
      <c r="A38" s="38" t="s">
        <v>516</v>
      </c>
      <c r="C38" s="38" t="s">
        <v>1403</v>
      </c>
      <c r="E38" s="38" t="s">
        <v>355</v>
      </c>
      <c r="G38" s="38" t="s">
        <v>314</v>
      </c>
      <c r="H38" s="38" t="s">
        <v>314</v>
      </c>
      <c r="I38" s="38" t="s">
        <v>314</v>
      </c>
      <c r="L38" s="38" t="s">
        <v>1396</v>
      </c>
    </row>
    <row r="39" spans="1:12" ht="15.75" customHeight="1" x14ac:dyDescent="0.25">
      <c r="A39" s="38" t="s">
        <v>1396</v>
      </c>
      <c r="C39" s="38" t="s">
        <v>1405</v>
      </c>
      <c r="E39" s="38" t="s">
        <v>423</v>
      </c>
      <c r="G39" s="38" t="s">
        <v>355</v>
      </c>
      <c r="H39" s="38" t="s">
        <v>355</v>
      </c>
      <c r="I39" s="38" t="s">
        <v>355</v>
      </c>
      <c r="L39" s="38" t="s">
        <v>466</v>
      </c>
    </row>
    <row r="40" spans="1:12" ht="15.75" customHeight="1" x14ac:dyDescent="0.25">
      <c r="A40" s="38" t="s">
        <v>466</v>
      </c>
      <c r="E40" s="38" t="s">
        <v>1381</v>
      </c>
      <c r="G40" s="38" t="s">
        <v>423</v>
      </c>
      <c r="H40" s="38" t="s">
        <v>423</v>
      </c>
      <c r="I40" s="38" t="s">
        <v>423</v>
      </c>
      <c r="L40" s="38" t="s">
        <v>71</v>
      </c>
    </row>
    <row r="41" spans="1:12" ht="15.75" customHeight="1" x14ac:dyDescent="0.25">
      <c r="A41" s="38" t="s">
        <v>1399</v>
      </c>
      <c r="E41" s="38" t="s">
        <v>1385</v>
      </c>
      <c r="G41" s="38" t="s">
        <v>1381</v>
      </c>
      <c r="H41" s="38" t="s">
        <v>1381</v>
      </c>
      <c r="I41" s="38" t="s">
        <v>1381</v>
      </c>
      <c r="L41" s="38" t="s">
        <v>18</v>
      </c>
    </row>
    <row r="42" spans="1:12" ht="15.75" customHeight="1" x14ac:dyDescent="0.25">
      <c r="A42" s="38" t="s">
        <v>1401</v>
      </c>
      <c r="E42" s="38" t="s">
        <v>1387</v>
      </c>
      <c r="G42" s="38" t="s">
        <v>1385</v>
      </c>
      <c r="H42" s="38" t="s">
        <v>1385</v>
      </c>
      <c r="I42" s="38" t="s">
        <v>1385</v>
      </c>
      <c r="L42" s="38" t="s">
        <v>1403</v>
      </c>
    </row>
    <row r="43" spans="1:12" ht="15.75" customHeight="1" x14ac:dyDescent="0.25">
      <c r="A43" s="38" t="s">
        <v>1403</v>
      </c>
      <c r="E43" s="38" t="s">
        <v>184</v>
      </c>
      <c r="G43" s="38" t="s">
        <v>500</v>
      </c>
      <c r="H43" s="38" t="s">
        <v>500</v>
      </c>
      <c r="I43" s="38" t="s">
        <v>500</v>
      </c>
    </row>
    <row r="44" spans="1:12" ht="15.75" customHeight="1" x14ac:dyDescent="0.25">
      <c r="E44" s="38" t="s">
        <v>1392</v>
      </c>
      <c r="G44" s="38" t="s">
        <v>184</v>
      </c>
      <c r="H44" s="38" t="s">
        <v>184</v>
      </c>
      <c r="I44" s="38" t="s">
        <v>184</v>
      </c>
    </row>
    <row r="45" spans="1:12" ht="15.75" customHeight="1" x14ac:dyDescent="0.25">
      <c r="E45" s="38" t="s">
        <v>516</v>
      </c>
      <c r="G45" s="38" t="s">
        <v>1392</v>
      </c>
      <c r="H45" s="38" t="s">
        <v>1392</v>
      </c>
      <c r="I45" s="38" t="s">
        <v>1392</v>
      </c>
    </row>
    <row r="46" spans="1:12" ht="15.75" customHeight="1" x14ac:dyDescent="0.25">
      <c r="E46" s="38" t="s">
        <v>1396</v>
      </c>
      <c r="G46" s="38" t="s">
        <v>516</v>
      </c>
      <c r="H46" s="38" t="s">
        <v>516</v>
      </c>
      <c r="I46" s="38" t="s">
        <v>516</v>
      </c>
    </row>
    <row r="47" spans="1:12" ht="15.75" customHeight="1" x14ac:dyDescent="0.25">
      <c r="E47" s="38" t="s">
        <v>466</v>
      </c>
      <c r="G47" s="38" t="s">
        <v>1396</v>
      </c>
      <c r="H47" s="38" t="s">
        <v>1396</v>
      </c>
      <c r="I47" s="38" t="s">
        <v>1396</v>
      </c>
    </row>
    <row r="48" spans="1:12" ht="15.75" customHeight="1" x14ac:dyDescent="0.25">
      <c r="E48" s="38" t="s">
        <v>1399</v>
      </c>
      <c r="G48" s="38" t="s">
        <v>466</v>
      </c>
      <c r="H48" s="38" t="s">
        <v>466</v>
      </c>
      <c r="I48" s="38" t="s">
        <v>466</v>
      </c>
    </row>
    <row r="49" spans="5:9" ht="15.75" customHeight="1" x14ac:dyDescent="0.25">
      <c r="E49" s="38" t="s">
        <v>1401</v>
      </c>
      <c r="G49" s="38" t="s">
        <v>71</v>
      </c>
      <c r="H49" s="38" t="s">
        <v>71</v>
      </c>
      <c r="I49" s="38" t="s">
        <v>71</v>
      </c>
    </row>
    <row r="50" spans="5:9" ht="15.75" customHeight="1" x14ac:dyDescent="0.25">
      <c r="E50" s="38" t="s">
        <v>1403</v>
      </c>
      <c r="G50" s="38" t="s">
        <v>18</v>
      </c>
      <c r="H50" s="38" t="s">
        <v>18</v>
      </c>
      <c r="I50" s="38" t="s">
        <v>18</v>
      </c>
    </row>
    <row r="51" spans="5:9" ht="15.75" customHeight="1" x14ac:dyDescent="0.25">
      <c r="E51" s="38" t="s">
        <v>1406</v>
      </c>
      <c r="G51" s="38" t="s">
        <v>1403</v>
      </c>
      <c r="H51" s="38" t="s">
        <v>1403</v>
      </c>
      <c r="I51" s="38" t="s">
        <v>1403</v>
      </c>
    </row>
    <row r="52" spans="5:9" ht="15.75" customHeight="1" x14ac:dyDescent="0.25"/>
    <row r="53" spans="5:9" ht="15.75" customHeight="1" x14ac:dyDescent="0.25"/>
    <row r="54" spans="5:9" ht="15.75" customHeight="1" x14ac:dyDescent="0.25"/>
    <row r="55" spans="5:9" ht="15.75" customHeight="1" x14ac:dyDescent="0.25"/>
    <row r="56" spans="5:9" ht="15.75" customHeight="1" x14ac:dyDescent="0.25"/>
    <row r="57" spans="5:9" ht="15.75" customHeight="1" x14ac:dyDescent="0.25"/>
    <row r="58" spans="5:9" ht="15.75" customHeight="1" x14ac:dyDescent="0.25"/>
    <row r="59" spans="5:9" ht="15.75" customHeight="1" x14ac:dyDescent="0.25"/>
    <row r="60" spans="5:9" ht="15.75" customHeight="1" x14ac:dyDescent="0.25"/>
    <row r="61" spans="5:9" ht="15.75" customHeight="1" x14ac:dyDescent="0.25"/>
    <row r="62" spans="5:9" ht="15.75" customHeight="1" x14ac:dyDescent="0.25"/>
    <row r="63" spans="5:9" ht="15.75" customHeight="1" x14ac:dyDescent="0.25"/>
    <row r="64" spans="5:9"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heetViews>
  <sheetFormatPr baseColWidth="10" defaultColWidth="14.42578125" defaultRowHeight="15" x14ac:dyDescent="0.25"/>
  <cols>
    <col min="1" max="1" width="100.140625" style="1" customWidth="1"/>
    <col min="2" max="2" width="75" style="1" customWidth="1"/>
    <col min="3" max="3" width="159.5703125" style="1" customWidth="1"/>
    <col min="4" max="5" width="75" style="1" customWidth="1"/>
    <col min="6" max="25" width="11.42578125" style="1" customWidth="1"/>
  </cols>
  <sheetData>
    <row r="1" spans="1:26" x14ac:dyDescent="0.25">
      <c r="A1" s="38" t="e">
        <f>CONCATENATE("Servicios_",#REF!,"")</f>
        <v>#REF!</v>
      </c>
    </row>
    <row r="3" spans="1:26" x14ac:dyDescent="0.25">
      <c r="A3" s="67" t="s">
        <v>1407</v>
      </c>
      <c r="B3" s="67" t="s">
        <v>1408</v>
      </c>
      <c r="C3" s="67" t="s">
        <v>1409</v>
      </c>
      <c r="D3" s="67" t="s">
        <v>1410</v>
      </c>
      <c r="E3" s="67" t="s">
        <v>1411</v>
      </c>
      <c r="F3" s="67"/>
      <c r="G3" s="67"/>
      <c r="H3" s="67"/>
      <c r="I3" s="67"/>
      <c r="J3" s="67"/>
      <c r="K3" s="67"/>
      <c r="L3" s="67"/>
      <c r="M3" s="67"/>
      <c r="N3" s="67"/>
      <c r="O3" s="67"/>
      <c r="P3" s="67"/>
      <c r="Q3" s="67"/>
      <c r="R3" s="67"/>
      <c r="S3" s="67"/>
      <c r="T3" s="67"/>
      <c r="U3" s="67"/>
      <c r="V3" s="67"/>
      <c r="W3" s="67"/>
      <c r="X3" s="67"/>
      <c r="Y3" s="67"/>
      <c r="Z3" s="67"/>
    </row>
    <row r="4" spans="1:26" x14ac:dyDescent="0.25">
      <c r="A4" s="38" t="s">
        <v>1412</v>
      </c>
      <c r="B4" s="38" t="s">
        <v>1413</v>
      </c>
      <c r="C4" s="38" t="s">
        <v>1414</v>
      </c>
      <c r="D4" s="38" t="s">
        <v>1415</v>
      </c>
      <c r="E4" s="38" t="s">
        <v>1416</v>
      </c>
    </row>
    <row r="5" spans="1:26" x14ac:dyDescent="0.25">
      <c r="A5" s="38" t="s">
        <v>1417</v>
      </c>
      <c r="B5" s="38" t="s">
        <v>1417</v>
      </c>
      <c r="C5" s="38" t="s">
        <v>1418</v>
      </c>
      <c r="D5" s="38" t="s">
        <v>1417</v>
      </c>
      <c r="E5" s="38" t="s">
        <v>1417</v>
      </c>
    </row>
    <row r="6" spans="1:26" x14ac:dyDescent="0.25">
      <c r="A6" s="38" t="s">
        <v>1419</v>
      </c>
      <c r="B6" s="38" t="s">
        <v>1420</v>
      </c>
      <c r="C6" s="38" t="s">
        <v>1421</v>
      </c>
      <c r="D6" s="38" t="s">
        <v>1420</v>
      </c>
      <c r="E6" s="38" t="s">
        <v>1420</v>
      </c>
    </row>
    <row r="7" spans="1:26" x14ac:dyDescent="0.25">
      <c r="A7" s="38" t="s">
        <v>1422</v>
      </c>
      <c r="B7" s="38" t="s">
        <v>1422</v>
      </c>
      <c r="C7" s="38" t="s">
        <v>1417</v>
      </c>
      <c r="D7" s="38" t="s">
        <v>1422</v>
      </c>
      <c r="E7" s="38" t="s">
        <v>1423</v>
      </c>
    </row>
    <row r="8" spans="1:26" x14ac:dyDescent="0.25">
      <c r="A8" s="38" t="s">
        <v>1424</v>
      </c>
      <c r="B8" s="38" t="s">
        <v>1424</v>
      </c>
      <c r="C8" s="38" t="s">
        <v>1425</v>
      </c>
      <c r="D8" s="38" t="s">
        <v>1424</v>
      </c>
      <c r="E8" s="38" t="s">
        <v>1422</v>
      </c>
    </row>
    <row r="9" spans="1:26" x14ac:dyDescent="0.25">
      <c r="A9" s="38" t="s">
        <v>1426</v>
      </c>
      <c r="B9" s="38" t="s">
        <v>1426</v>
      </c>
      <c r="C9" s="38" t="s">
        <v>1419</v>
      </c>
      <c r="D9" s="38" t="s">
        <v>1426</v>
      </c>
      <c r="E9" s="38" t="s">
        <v>1427</v>
      </c>
    </row>
    <row r="10" spans="1:26" x14ac:dyDescent="0.25">
      <c r="A10" s="38" t="s">
        <v>1428</v>
      </c>
      <c r="B10" s="38" t="s">
        <v>1428</v>
      </c>
      <c r="C10" s="38" t="s">
        <v>1429</v>
      </c>
      <c r="D10" s="38" t="s">
        <v>1428</v>
      </c>
      <c r="E10" s="38" t="s">
        <v>1426</v>
      </c>
    </row>
    <row r="11" spans="1:26" x14ac:dyDescent="0.25">
      <c r="A11" s="38" t="s">
        <v>1430</v>
      </c>
      <c r="B11" s="38" t="s">
        <v>1430</v>
      </c>
      <c r="C11" s="38" t="s">
        <v>1431</v>
      </c>
      <c r="D11" s="38" t="s">
        <v>1430</v>
      </c>
      <c r="E11" s="38" t="s">
        <v>1428</v>
      </c>
    </row>
    <row r="12" spans="1:26" x14ac:dyDescent="0.25">
      <c r="A12" s="38" t="s">
        <v>1432</v>
      </c>
      <c r="B12" s="38" t="s">
        <v>1433</v>
      </c>
      <c r="C12" s="38" t="s">
        <v>1434</v>
      </c>
      <c r="D12" s="38" t="s">
        <v>1432</v>
      </c>
      <c r="E12" s="38" t="s">
        <v>1430</v>
      </c>
    </row>
    <row r="13" spans="1:26" x14ac:dyDescent="0.25">
      <c r="A13" s="38" t="s">
        <v>1435</v>
      </c>
      <c r="B13" s="38" t="s">
        <v>1432</v>
      </c>
      <c r="C13" s="38" t="s">
        <v>1422</v>
      </c>
      <c r="E13" s="38" t="s">
        <v>1432</v>
      </c>
    </row>
    <row r="14" spans="1:26" x14ac:dyDescent="0.25">
      <c r="A14" s="38" t="s">
        <v>1436</v>
      </c>
      <c r="C14" s="38" t="s">
        <v>1437</v>
      </c>
      <c r="E14" s="38" t="s">
        <v>1438</v>
      </c>
    </row>
    <row r="15" spans="1:26" x14ac:dyDescent="0.25">
      <c r="A15" s="38" t="s">
        <v>1439</v>
      </c>
      <c r="C15" s="38" t="s">
        <v>1428</v>
      </c>
    </row>
    <row r="16" spans="1:26" x14ac:dyDescent="0.25">
      <c r="C16" s="38" t="s">
        <v>1430</v>
      </c>
    </row>
    <row r="17" spans="3:3" x14ac:dyDescent="0.25">
      <c r="C17" s="38" t="s">
        <v>1432</v>
      </c>
    </row>
    <row r="18" spans="3:3" x14ac:dyDescent="0.25">
      <c r="C18" s="38" t="s">
        <v>1426</v>
      </c>
    </row>
    <row r="21" spans="3:3" ht="15.75" customHeight="1" x14ac:dyDescent="0.25"/>
    <row r="22" spans="3:3" ht="15.75" customHeight="1" x14ac:dyDescent="0.25"/>
    <row r="23" spans="3:3" ht="15.75" customHeight="1" x14ac:dyDescent="0.25"/>
    <row r="24" spans="3:3" ht="15.75" customHeight="1" x14ac:dyDescent="0.25"/>
    <row r="25" spans="3:3" ht="15.75" customHeight="1" x14ac:dyDescent="0.25"/>
    <row r="26" spans="3:3" ht="15.75" customHeight="1" x14ac:dyDescent="0.25"/>
    <row r="27" spans="3:3" ht="15.75" customHeight="1" x14ac:dyDescent="0.25"/>
    <row r="28" spans="3:3" ht="15.75" customHeight="1" x14ac:dyDescent="0.25"/>
    <row r="29" spans="3:3" ht="15.75" customHeight="1" x14ac:dyDescent="0.25"/>
    <row r="30" spans="3:3" ht="15.75" customHeight="1" x14ac:dyDescent="0.25"/>
    <row r="31" spans="3:3" ht="15.75" customHeight="1" x14ac:dyDescent="0.25"/>
    <row r="32" spans="3: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78</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27</vt:i4>
      </vt:variant>
    </vt:vector>
  </HeadingPairs>
  <TitlesOfParts>
    <vt:vector size="32" baseType="lpstr">
      <vt:lpstr>FORMATO 3</vt:lpstr>
      <vt:lpstr>Listas2</vt:lpstr>
      <vt:lpstr>Listas</vt:lpstr>
      <vt:lpstr>Bienes</vt:lpstr>
      <vt:lpstr>Servicios</vt:lpstr>
      <vt:lpstr>Bienes_Biomasa_Biogás</vt:lpstr>
      <vt:lpstr>Bienes_Biomasa_Cultivos_energéticos</vt:lpstr>
      <vt:lpstr>Bienes_Biomasa_Gasificación</vt:lpstr>
      <vt:lpstr>Bienes_Biomasa_Generación_cogeneración</vt:lpstr>
      <vt:lpstr>Bienes_Biomasa_Pirolización</vt:lpstr>
      <vt:lpstr>Bienes_Eólica_Eólica</vt:lpstr>
      <vt:lpstr>Bienes_Geotérmica_Central_de_ciclo_binario</vt:lpstr>
      <vt:lpstr>Bienes_Geotérmica_Central_de_vapor_seco</vt:lpstr>
      <vt:lpstr>Bienes_Geotérmica_Central_flash</vt:lpstr>
      <vt:lpstr>Bienes_PCH_Hidráulica</vt:lpstr>
      <vt:lpstr>Bienes_PCH_Hidrocinética</vt:lpstr>
      <vt:lpstr>Bienes_Solar_Fotovoltaica</vt:lpstr>
      <vt:lpstr>REC_Biomasa</vt:lpstr>
      <vt:lpstr>REC_Eólica</vt:lpstr>
      <vt:lpstr>REC_Geotérmica</vt:lpstr>
      <vt:lpstr>REC_PCH</vt:lpstr>
      <vt:lpstr>REC_Solar</vt:lpstr>
      <vt:lpstr>Servicios_Biomasa</vt:lpstr>
      <vt:lpstr>Servicios_Eólica</vt:lpstr>
      <vt:lpstr>Servicios_Geotérmica</vt:lpstr>
      <vt:lpstr>Servicios_PCH</vt:lpstr>
      <vt:lpstr>Servicios_Solar</vt:lpstr>
      <vt:lpstr>TEC_Biomasa</vt:lpstr>
      <vt:lpstr>TEC_Eólica</vt:lpstr>
      <vt:lpstr>TEC_Geotérmica</vt:lpstr>
      <vt:lpstr>TEC_PCH</vt:lpstr>
      <vt:lpstr>TEC_Solar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dc:creator>
  <dc:description/>
  <cp:lastModifiedBy>usuario</cp:lastModifiedBy>
  <cp:revision>2</cp:revision>
  <dcterms:created xsi:type="dcterms:W3CDTF">2024-12-05T13:19:00Z</dcterms:created>
  <dcterms:modified xsi:type="dcterms:W3CDTF">2026-09-30T01:12:37Z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0x01010013EC9A511C179E43810EA5950AE55063</vt:lpwstr>
  </property>
  <property fmtid="{D5CDD505-2E9C-101B-9397-08002B2CF9AE}" pid="3" name="ICV">
    <vt:lpwstr>38FA577507424E38BFA724464902CAFD_13</vt:lpwstr>
  </property>
  <property fmtid="{D5CDD505-2E9C-101B-9397-08002B2CF9AE}" pid="4" name="KSOProductBuildVer">
    <vt:lpwstr>2058-12.2.0.22549</vt:lpwstr>
  </property>
</Properties>
</file>